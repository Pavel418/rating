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hemical Eng."/>
    <sheet r:id="rId2" sheetId="2" name="Oil &amp;amp; Gas  Eng."/>
    <sheet r:id="rId3" sheetId="3" name="Geophysical Eng."/>
    <sheet r:id="rId4" sheetId="4" name="Computer science"/>
  </sheets>
  <calcPr fullCalcOnLoad="1"/>
</workbook>
</file>

<file path=xl/sharedStrings.xml><?xml version="1.0" encoding="utf-8"?>
<sst xmlns="http://schemas.openxmlformats.org/spreadsheetml/2006/main" count="57" uniqueCount="27">
  <si>
    <t>Academic Year 2023/2024</t>
  </si>
  <si>
    <t>Point Mechanics Final</t>
  </si>
  <si>
    <t>L1 Option: Computer science</t>
  </si>
  <si>
    <t>S.No.</t>
  </si>
  <si>
    <t>Student ID</t>
  </si>
  <si>
    <t xml:space="preserve">Participation by GG </t>
  </si>
  <si>
    <t>Participation by AD</t>
  </si>
  <si>
    <t>participation total</t>
  </si>
  <si>
    <t>Exam by GG</t>
  </si>
  <si>
    <t xml:space="preserve">Exam by AD </t>
  </si>
  <si>
    <t>Exam Final</t>
  </si>
  <si>
    <t>*</t>
  </si>
  <si>
    <t>Doubling L1 students</t>
  </si>
  <si>
    <t>ab</t>
  </si>
  <si>
    <t>L1 Option: Geological and
Geophysical engineering</t>
  </si>
  <si>
    <t>Participation by GG</t>
  </si>
  <si>
    <t xml:space="preserve">Participation total </t>
  </si>
  <si>
    <t>Exam by AD</t>
  </si>
  <si>
    <t>L1 Option: Oil and Gas Engineering</t>
  </si>
  <si>
    <t>participation by GG</t>
  </si>
  <si>
    <t>participation by AD</t>
  </si>
  <si>
    <t>Participation Total</t>
  </si>
  <si>
    <t>Dobling L1 students</t>
  </si>
  <si>
    <t>L1 Option: Chemical engineering CE-022</t>
  </si>
  <si>
    <t>Participation total</t>
  </si>
  <si>
    <t>Exam final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</si>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</sst>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3">
    <xf xfId="0" numFmtId="0" borderId="0" fontId="0" fillId="0"/>
    <xf xfId="0" numFmtId="3" applyNumberFormat="1" borderId="1" applyBorder="1" fontId="1" applyFont="1" fillId="0" applyAlignment="1">
      <alignment horizontal="center" vertical="top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4" applyFont="1" fillId="0" applyAlignment="1">
      <alignment horizontal="left"/>
    </xf>
    <xf xfId="0" numFmtId="3" applyNumberFormat="1" borderId="1" applyBorder="1" fontId="1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4" applyNumberFormat="1" borderId="1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5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4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2" applyBorder="1" fontId="5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center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left" wrapText="1"/>
    </xf>
    <xf xfId="0" numFmtId="3" applyNumberFormat="1" borderId="1" applyBorder="1" fontId="5" applyFont="1" fillId="0" applyAlignment="1">
      <alignment horizontal="left"/>
    </xf>
    <xf xfId="0" numFmtId="4" applyNumberFormat="1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4" applyNumberFormat="1" borderId="1" applyBorder="1" fontId="5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2" applyFont="1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6" applyBorder="1" fontId="1" applyFont="1" fillId="0" applyAlignment="1">
      <alignment horizontal="center" wrapText="1"/>
    </xf>
    <xf xfId="0" numFmtId="3" applyNumberFormat="1" borderId="7" applyBorder="1" fontId="1" applyFont="1" fillId="0" applyAlignment="1">
      <alignment horizontal="center" wrapText="1"/>
    </xf>
    <xf xfId="0" numFmtId="3" applyNumberFormat="1" borderId="6" applyBorder="1" fontId="2" applyFont="1" fillId="0" applyAlignment="1">
      <alignment horizontal="center" wrapText="1"/>
    </xf>
    <xf xfId="0" numFmtId="4" applyNumberFormat="1" borderId="1" applyBorder="1" fontId="7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1" applyBorder="1" fontId="5" applyFont="1" fillId="0" applyAlignment="1">
      <alignment horizontal="center" wrapText="1"/>
    </xf>
    <xf xfId="0" numFmtId="4" applyNumberFormat="1" borderId="1" applyBorder="1" fontId="6" applyFont="1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5" applyFont="1" fillId="0" applyAlignment="1">
      <alignment horizontal="right"/>
    </xf>
    <xf xfId="0" numFmtId="164" applyNumberFormat="1" borderId="1" applyBorder="1" fontId="4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8" applyFont="1" fillId="0" applyAlignment="1">
      <alignment horizontal="right"/>
    </xf>
    <xf xfId="0" numFmtId="3" applyNumberFormat="1" borderId="1" applyBorder="1" fontId="8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98"/>
  <sheetViews>
    <sheetView workbookViewId="0"/>
  </sheetViews>
  <sheetFormatPr defaultRowHeight="15" x14ac:dyDescent="0.25"/>
  <cols>
    <col min="1" max="1" style="33" width="7.147857142857143" customWidth="1" bestFit="1"/>
    <col min="2" max="2" style="33" width="18.433571428571426" customWidth="1" bestFit="1"/>
    <col min="3" max="3" style="72" width="19.576428571428572" customWidth="1" bestFit="1"/>
    <col min="4" max="4" style="72" width="20.290714285714284" customWidth="1" bestFit="1"/>
    <col min="5" max="5" style="72" width="20.290714285714284" customWidth="1" bestFit="1"/>
    <col min="6" max="6" style="34" width="17.290714285714284" customWidth="1" bestFit="1"/>
    <col min="7" max="7" style="34" width="13.719285714285713" customWidth="1" bestFit="1"/>
    <col min="8" max="8" style="34" width="14.576428571428572" customWidth="1" bestFit="1"/>
    <col min="9" max="9" style="35" width="9.862142857142858" customWidth="1" bestFit="1"/>
    <col min="10" max="10" style="35" width="9.862142857142858" customWidth="1" bestFit="1"/>
    <col min="11" max="11" style="35" width="9.862142857142858" customWidth="1" bestFit="1"/>
    <col min="12" max="12" style="35" width="9.862142857142858" customWidth="1" bestFit="1"/>
    <col min="13" max="13" style="35" width="9.862142857142858" customWidth="1" bestFit="1"/>
    <col min="14" max="14" style="35" width="9.862142857142858" customWidth="1" bestFit="1"/>
    <col min="15" max="15" style="35" width="9.862142857142858" customWidth="1" bestFit="1"/>
    <col min="16" max="16" style="35" width="9.862142857142858" customWidth="1" bestFit="1"/>
    <col min="17" max="17" style="35" width="9.862142857142858" customWidth="1" bestFit="1"/>
    <col min="18" max="18" style="35" width="9.862142857142858" customWidth="1" bestFit="1"/>
    <col min="19" max="19" style="35" width="9.862142857142858" customWidth="1" bestFit="1"/>
    <col min="20" max="20" style="35" width="9.862142857142858" customWidth="1" bestFit="1"/>
    <col min="21" max="21" style="35" width="9.862142857142858" customWidth="1" bestFit="1"/>
    <col min="22" max="22" style="35" width="9.862142857142858" customWidth="1" bestFit="1"/>
    <col min="23" max="23" style="35" width="9.862142857142858" customWidth="1" bestFit="1"/>
    <col min="24" max="24" style="35" width="9.862142857142858" customWidth="1" bestFit="1"/>
  </cols>
  <sheetData>
    <row x14ac:dyDescent="0.25" r="1" customHeight="1" ht="18.75">
      <c r="A1" s="1" t="s">
        <v>0</v>
      </c>
      <c r="B1" s="2"/>
      <c r="C1" s="56"/>
      <c r="D1" s="56"/>
      <c r="E1" s="57"/>
      <c r="F1" s="19"/>
      <c r="G1" s="58"/>
      <c r="H1" s="59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8"/>
    </row>
    <row x14ac:dyDescent="0.25" r="2" customHeight="1" ht="16.5">
      <c r="A2" s="2"/>
      <c r="B2" s="2"/>
      <c r="C2" s="60" t="s">
        <v>1</v>
      </c>
      <c r="D2" s="61"/>
      <c r="E2" s="62"/>
      <c r="F2" s="19"/>
      <c r="G2" s="58"/>
      <c r="H2" s="59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8"/>
    </row>
    <row x14ac:dyDescent="0.25" r="3" customHeight="1" ht="31.5">
      <c r="A3" s="10" t="s">
        <v>23</v>
      </c>
      <c r="B3" s="10"/>
      <c r="C3" s="61"/>
      <c r="D3" s="61"/>
      <c r="E3" s="62"/>
      <c r="F3" s="19"/>
      <c r="G3" s="58"/>
      <c r="H3" s="59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8"/>
    </row>
    <row x14ac:dyDescent="0.25" r="4" customHeight="1" ht="34.2">
      <c r="A4" s="15" t="s">
        <v>3</v>
      </c>
      <c r="B4" s="15" t="s">
        <v>4</v>
      </c>
      <c r="C4" s="63" t="s">
        <v>15</v>
      </c>
      <c r="D4" s="63" t="s">
        <v>6</v>
      </c>
      <c r="E4" s="64" t="s">
        <v>24</v>
      </c>
      <c r="F4" s="19" t="s">
        <v>8</v>
      </c>
      <c r="G4" s="19" t="s">
        <v>17</v>
      </c>
      <c r="H4" s="29" t="s">
        <v>25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8"/>
      <c r="X4" s="8"/>
    </row>
    <row x14ac:dyDescent="0.25" r="5" customHeight="1" ht="16.5">
      <c r="A5" s="28">
        <v>1</v>
      </c>
      <c r="B5" s="17">
        <v>22222005</v>
      </c>
      <c r="C5" s="61">
        <v>5.83333333333333</v>
      </c>
      <c r="D5" s="61">
        <v>5.5</v>
      </c>
      <c r="E5" s="62">
        <f>C5+D5</f>
      </c>
      <c r="F5" s="13">
        <v>5.5</v>
      </c>
      <c r="G5" s="13">
        <v>6.25</v>
      </c>
      <c r="H5" s="23">
        <f>F5+G5</f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8"/>
      <c r="V5" s="8"/>
      <c r="W5" s="8"/>
      <c r="X5" s="8"/>
    </row>
    <row x14ac:dyDescent="0.25" r="6" customHeight="1" ht="16.5">
      <c r="A6" s="28">
        <v>2</v>
      </c>
      <c r="B6" s="17">
        <v>22222039</v>
      </c>
      <c r="C6" s="61">
        <v>1.33333333333333</v>
      </c>
      <c r="D6" s="61">
        <v>2.5</v>
      </c>
      <c r="E6" s="62">
        <f>C6+D6</f>
      </c>
      <c r="F6" s="13">
        <v>4.25</v>
      </c>
      <c r="G6" s="22">
        <v>2</v>
      </c>
      <c r="H6" s="23">
        <f>F6+G6</f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8"/>
      <c r="V6" s="8"/>
      <c r="W6" s="8"/>
      <c r="X6" s="8"/>
    </row>
    <row x14ac:dyDescent="0.25" r="7" customHeight="1" ht="16.5">
      <c r="A7" s="28">
        <v>3</v>
      </c>
      <c r="B7" s="17">
        <v>22222037</v>
      </c>
      <c r="C7" s="61">
        <v>2.83333333333333</v>
      </c>
      <c r="D7" s="61">
        <v>0</v>
      </c>
      <c r="E7" s="62">
        <f>C7+D7</f>
      </c>
      <c r="F7" s="19"/>
      <c r="G7" s="19"/>
      <c r="H7" s="26">
        <f>F7+G7</f>
      </c>
      <c r="I7" s="52" t="s">
        <v>13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8"/>
      <c r="V7" s="8"/>
      <c r="W7" s="8"/>
      <c r="X7" s="8"/>
    </row>
    <row x14ac:dyDescent="0.25" r="8" customHeight="1" ht="16.5">
      <c r="A8" s="28">
        <v>4</v>
      </c>
      <c r="B8" s="17">
        <v>22222010</v>
      </c>
      <c r="C8" s="61">
        <v>2.33333333333333</v>
      </c>
      <c r="D8" s="61">
        <v>0</v>
      </c>
      <c r="E8" s="62">
        <f>C8+D8</f>
      </c>
      <c r="F8" s="13">
        <v>0.25</v>
      </c>
      <c r="G8" s="22">
        <v>0</v>
      </c>
      <c r="H8" s="23">
        <f>F8+G8</f>
      </c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8"/>
      <c r="V8" s="8"/>
      <c r="W8" s="8"/>
      <c r="X8" s="8"/>
    </row>
    <row x14ac:dyDescent="0.25" r="9" customHeight="1" ht="16.5">
      <c r="A9" s="28">
        <v>5</v>
      </c>
      <c r="B9" s="17">
        <v>22222048</v>
      </c>
      <c r="C9" s="61">
        <v>6.16666666666667</v>
      </c>
      <c r="D9" s="61">
        <v>2.5</v>
      </c>
      <c r="E9" s="62">
        <f>C9+D9</f>
      </c>
      <c r="F9" s="65">
        <v>4.25</v>
      </c>
      <c r="G9" s="13">
        <v>2.25</v>
      </c>
      <c r="H9" s="23">
        <f>F9+G9</f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8"/>
      <c r="V9" s="8"/>
      <c r="W9" s="8"/>
      <c r="X9" s="8"/>
    </row>
    <row x14ac:dyDescent="0.25" r="10" customHeight="1" ht="16.5">
      <c r="A10" s="28">
        <v>6</v>
      </c>
      <c r="B10" s="17">
        <v>22221962</v>
      </c>
      <c r="C10" s="61">
        <v>3.16666666666667</v>
      </c>
      <c r="D10" s="61">
        <v>2.5</v>
      </c>
      <c r="E10" s="62">
        <f>C10+D10</f>
      </c>
      <c r="F10" s="22">
        <v>0</v>
      </c>
      <c r="G10" s="66">
        <v>0</v>
      </c>
      <c r="H10" s="26">
        <f>F10+G10</f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8"/>
      <c r="V10" s="8"/>
      <c r="W10" s="8"/>
      <c r="X10" s="8"/>
    </row>
    <row x14ac:dyDescent="0.25" r="11" customHeight="1" ht="16.5">
      <c r="A11" s="28">
        <v>7</v>
      </c>
      <c r="B11" s="17">
        <v>22222047</v>
      </c>
      <c r="C11" s="61">
        <v>7.16666666666667</v>
      </c>
      <c r="D11" s="61">
        <v>6.5</v>
      </c>
      <c r="E11" s="62">
        <f>C11+D11</f>
      </c>
      <c r="F11" s="13">
        <v>4.75</v>
      </c>
      <c r="G11" s="13">
        <v>3.75</v>
      </c>
      <c r="H11" s="23">
        <f>F11+G11</f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8"/>
      <c r="V11" s="8"/>
      <c r="W11" s="8"/>
      <c r="X11" s="8"/>
    </row>
    <row x14ac:dyDescent="0.25" r="12" customHeight="1" ht="16.5">
      <c r="A12" s="28">
        <v>8</v>
      </c>
      <c r="B12" s="17">
        <v>22222056</v>
      </c>
      <c r="C12" s="61">
        <v>2.83333333333333</v>
      </c>
      <c r="D12" s="61">
        <v>5</v>
      </c>
      <c r="E12" s="62">
        <f>C12+D12</f>
      </c>
      <c r="F12" s="13">
        <v>4.25</v>
      </c>
      <c r="G12" s="22">
        <v>0</v>
      </c>
      <c r="H12" s="23">
        <f>F12+G12</f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8"/>
      <c r="V12" s="8"/>
      <c r="W12" s="8"/>
      <c r="X12" s="8"/>
    </row>
    <row x14ac:dyDescent="0.25" r="13" customHeight="1" ht="16.5">
      <c r="A13" s="28">
        <v>9</v>
      </c>
      <c r="B13" s="17">
        <v>22222066</v>
      </c>
      <c r="C13" s="61">
        <v>1.33333333333333</v>
      </c>
      <c r="D13" s="61">
        <v>5</v>
      </c>
      <c r="E13" s="62">
        <f>C13+D13</f>
      </c>
      <c r="F13" s="13">
        <v>3.25</v>
      </c>
      <c r="G13" s="13">
        <v>1.75</v>
      </c>
      <c r="H13" s="26">
        <f>F13+G13</f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8"/>
      <c r="V13" s="8"/>
      <c r="W13" s="8"/>
      <c r="X13" s="8"/>
    </row>
    <row x14ac:dyDescent="0.25" r="14" customHeight="1" ht="16.5">
      <c r="A14" s="28">
        <v>10</v>
      </c>
      <c r="B14" s="17">
        <v>22222059</v>
      </c>
      <c r="C14" s="61">
        <v>6.16666666666667</v>
      </c>
      <c r="D14" s="61">
        <v>5</v>
      </c>
      <c r="E14" s="62">
        <f>C14+D14</f>
      </c>
      <c r="F14" s="13">
        <v>4.25</v>
      </c>
      <c r="G14" s="13">
        <v>1.75</v>
      </c>
      <c r="H14" s="26">
        <f>F14+G14</f>
      </c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8"/>
      <c r="V14" s="8"/>
      <c r="W14" s="8"/>
      <c r="X14" s="8"/>
    </row>
    <row x14ac:dyDescent="0.25" r="15" customHeight="1" ht="16.5">
      <c r="A15" s="28">
        <v>11</v>
      </c>
      <c r="B15" s="17">
        <v>22222032</v>
      </c>
      <c r="C15" s="61">
        <v>5</v>
      </c>
      <c r="D15" s="61">
        <v>5</v>
      </c>
      <c r="E15" s="62">
        <f>C15+D15</f>
      </c>
      <c r="F15" s="13">
        <v>5.75</v>
      </c>
      <c r="G15" s="22">
        <v>9</v>
      </c>
      <c r="H15" s="23">
        <f>F15+G15</f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8"/>
      <c r="V15" s="8"/>
      <c r="W15" s="8"/>
      <c r="X15" s="8"/>
    </row>
    <row x14ac:dyDescent="0.25" r="16" customHeight="1" ht="16.5">
      <c r="A16" s="28">
        <v>12</v>
      </c>
      <c r="B16" s="17">
        <v>22222075</v>
      </c>
      <c r="C16" s="61">
        <v>6.66666666666667</v>
      </c>
      <c r="D16" s="61">
        <v>5</v>
      </c>
      <c r="E16" s="62">
        <f>C16+D16</f>
      </c>
      <c r="F16" s="22">
        <v>6</v>
      </c>
      <c r="G16" s="13">
        <v>1.75</v>
      </c>
      <c r="H16" s="23">
        <f>F16+G16</f>
      </c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8"/>
      <c r="V16" s="8"/>
      <c r="W16" s="8"/>
      <c r="X16" s="8"/>
    </row>
    <row x14ac:dyDescent="0.25" r="17" customHeight="1" ht="16.5">
      <c r="A17" s="28">
        <v>13</v>
      </c>
      <c r="B17" s="17">
        <v>22222079</v>
      </c>
      <c r="C17" s="61">
        <v>7.83333333333333</v>
      </c>
      <c r="D17" s="61">
        <v>4</v>
      </c>
      <c r="E17" s="62">
        <f>C17+D17</f>
      </c>
      <c r="F17" s="13">
        <v>3.25</v>
      </c>
      <c r="G17" s="22">
        <v>4</v>
      </c>
      <c r="H17" s="23">
        <f>F17+G17</f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8"/>
      <c r="V17" s="8"/>
      <c r="W17" s="8"/>
      <c r="X17" s="8"/>
    </row>
    <row x14ac:dyDescent="0.25" r="18" customHeight="1" ht="16.5">
      <c r="A18" s="28">
        <v>14</v>
      </c>
      <c r="B18" s="17">
        <v>22222027</v>
      </c>
      <c r="C18" s="61">
        <v>6.33333333333333</v>
      </c>
      <c r="D18" s="61">
        <v>5</v>
      </c>
      <c r="E18" s="62">
        <f>C18+D18</f>
      </c>
      <c r="F18" s="13">
        <v>4.75</v>
      </c>
      <c r="G18" s="13">
        <v>1.5</v>
      </c>
      <c r="H18" s="23">
        <f>F18+G18</f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8"/>
      <c r="V18" s="8"/>
      <c r="W18" s="8"/>
      <c r="X18" s="8"/>
    </row>
    <row x14ac:dyDescent="0.25" r="19" customHeight="1" ht="16.5">
      <c r="A19" s="28">
        <v>15</v>
      </c>
      <c r="B19" s="17">
        <v>22222076</v>
      </c>
      <c r="C19" s="61">
        <v>7.16666666666667</v>
      </c>
      <c r="D19" s="61">
        <v>5</v>
      </c>
      <c r="E19" s="62">
        <f>C19+D19</f>
      </c>
      <c r="F19" s="13">
        <v>4.25</v>
      </c>
      <c r="G19" s="22">
        <v>2</v>
      </c>
      <c r="H19" s="23">
        <f>F19+G19</f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8"/>
      <c r="V19" s="8"/>
      <c r="W19" s="8"/>
      <c r="X19" s="8"/>
    </row>
    <row x14ac:dyDescent="0.25" r="20" customHeight="1" ht="16.5">
      <c r="A20" s="28">
        <v>16</v>
      </c>
      <c r="B20" s="17">
        <v>22222026</v>
      </c>
      <c r="C20" s="61">
        <v>5.16666666666667</v>
      </c>
      <c r="D20" s="61">
        <v>5</v>
      </c>
      <c r="E20" s="62">
        <f>C20+D20</f>
      </c>
      <c r="F20" s="13">
        <v>2.75</v>
      </c>
      <c r="G20" s="22">
        <v>1</v>
      </c>
      <c r="H20" s="23">
        <f>F20+G20</f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8"/>
      <c r="V20" s="8"/>
      <c r="W20" s="8"/>
      <c r="X20" s="8"/>
    </row>
    <row x14ac:dyDescent="0.25" r="21" customHeight="1" ht="16.5">
      <c r="A21" s="28">
        <v>17</v>
      </c>
      <c r="B21" s="17">
        <v>22222053</v>
      </c>
      <c r="C21" s="61">
        <v>5.66666666666667</v>
      </c>
      <c r="D21" s="61">
        <v>6.5</v>
      </c>
      <c r="E21" s="62">
        <f>C21+D21</f>
      </c>
      <c r="F21" s="13">
        <v>4.25</v>
      </c>
      <c r="G21" s="13">
        <v>1.5</v>
      </c>
      <c r="H21" s="23">
        <f>F21+G21</f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8"/>
      <c r="V21" s="8"/>
      <c r="W21" s="8"/>
      <c r="X21" s="8"/>
    </row>
    <row x14ac:dyDescent="0.25" r="22" customHeight="1" ht="16.5">
      <c r="A22" s="28">
        <v>18</v>
      </c>
      <c r="B22" s="17">
        <v>22222073</v>
      </c>
      <c r="C22" s="61">
        <v>9.16666666666667</v>
      </c>
      <c r="D22" s="61">
        <v>4</v>
      </c>
      <c r="E22" s="62">
        <f>C22+D22</f>
      </c>
      <c r="F22" s="13">
        <v>6.25</v>
      </c>
      <c r="G22" s="13">
        <v>2.25</v>
      </c>
      <c r="H22" s="23">
        <f>F22+G22</f>
      </c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8"/>
      <c r="V22" s="8"/>
      <c r="W22" s="8"/>
      <c r="X22" s="8"/>
    </row>
    <row x14ac:dyDescent="0.25" r="23" customHeight="1" ht="16.5">
      <c r="A23" s="28">
        <v>19</v>
      </c>
      <c r="B23" s="17">
        <v>22222031</v>
      </c>
      <c r="C23" s="61">
        <v>1.33333333333333</v>
      </c>
      <c r="D23" s="61">
        <v>5</v>
      </c>
      <c r="E23" s="62">
        <f>C23+D23</f>
      </c>
      <c r="F23" s="13">
        <v>0.75</v>
      </c>
      <c r="G23" s="13">
        <v>0.5</v>
      </c>
      <c r="H23" s="23">
        <f>F23+G23</f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8"/>
      <c r="V23" s="8"/>
      <c r="W23" s="8"/>
      <c r="X23" s="8"/>
    </row>
    <row x14ac:dyDescent="0.25" r="24" customHeight="1" ht="16.5">
      <c r="A24" s="28">
        <v>20</v>
      </c>
      <c r="B24" s="17">
        <v>22222091</v>
      </c>
      <c r="C24" s="61">
        <v>4</v>
      </c>
      <c r="D24" s="61">
        <v>5</v>
      </c>
      <c r="E24" s="62">
        <f>C24+D24</f>
      </c>
      <c r="F24" s="13">
        <v>5.25</v>
      </c>
      <c r="G24" s="13">
        <v>4.25</v>
      </c>
      <c r="H24" s="23">
        <f>F24+G24</f>
      </c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8"/>
      <c r="V24" s="8"/>
      <c r="W24" s="8"/>
      <c r="X24" s="8"/>
    </row>
    <row x14ac:dyDescent="0.25" r="25" customHeight="1" ht="16.5">
      <c r="A25" s="28">
        <v>21</v>
      </c>
      <c r="B25" s="17">
        <v>22222087</v>
      </c>
      <c r="C25" s="61">
        <v>4.5</v>
      </c>
      <c r="D25" s="61">
        <v>5</v>
      </c>
      <c r="E25" s="62">
        <f>C25+D25</f>
      </c>
      <c r="F25" s="13">
        <v>0.5</v>
      </c>
      <c r="G25" s="22">
        <v>0</v>
      </c>
      <c r="H25" s="23">
        <f>F25+G25</f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8"/>
      <c r="V25" s="8"/>
      <c r="W25" s="8"/>
      <c r="X25" s="8"/>
    </row>
    <row x14ac:dyDescent="0.25" r="26" customHeight="1" ht="16.5">
      <c r="A26" s="28">
        <v>22</v>
      </c>
      <c r="B26" s="17">
        <v>22222082</v>
      </c>
      <c r="C26" s="61">
        <v>5</v>
      </c>
      <c r="D26" s="61">
        <v>0</v>
      </c>
      <c r="E26" s="62">
        <f>C26+D26</f>
      </c>
      <c r="F26" s="13">
        <v>3.25</v>
      </c>
      <c r="G26" s="22">
        <v>0</v>
      </c>
      <c r="H26" s="23">
        <f>F26+G26</f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8"/>
      <c r="V26" s="8"/>
      <c r="W26" s="8"/>
      <c r="X26" s="8"/>
    </row>
    <row x14ac:dyDescent="0.25" r="27" customHeight="1" ht="16.5">
      <c r="A27" s="28">
        <v>23</v>
      </c>
      <c r="B27" s="17">
        <v>22222029</v>
      </c>
      <c r="C27" s="61">
        <v>4.33333333333333</v>
      </c>
      <c r="D27" s="61">
        <v>6.5</v>
      </c>
      <c r="E27" s="62">
        <f>C27+D27</f>
      </c>
      <c r="F27" s="22">
        <v>8</v>
      </c>
      <c r="G27" s="13">
        <v>2.5</v>
      </c>
      <c r="H27" s="23">
        <f>F27+G27</f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8"/>
      <c r="V27" s="8"/>
      <c r="W27" s="8"/>
      <c r="X27" s="8"/>
    </row>
    <row x14ac:dyDescent="0.25" r="28" customHeight="1" ht="16.5">
      <c r="A28" s="28">
        <v>24</v>
      </c>
      <c r="B28" s="17">
        <v>22222043</v>
      </c>
      <c r="C28" s="61">
        <v>3.16666666666667</v>
      </c>
      <c r="D28" s="61">
        <v>5</v>
      </c>
      <c r="E28" s="62">
        <f>C28+D28</f>
      </c>
      <c r="F28" s="13">
        <v>0.75</v>
      </c>
      <c r="G28" s="13">
        <v>1.5</v>
      </c>
      <c r="H28" s="23">
        <f>F28+G28</f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8"/>
      <c r="V28" s="8"/>
      <c r="W28" s="8"/>
      <c r="X28" s="8"/>
    </row>
    <row x14ac:dyDescent="0.25" r="29" customHeight="1" ht="16.5">
      <c r="A29" s="28">
        <v>25</v>
      </c>
      <c r="B29" s="17">
        <v>22222050</v>
      </c>
      <c r="C29" s="61">
        <v>3.83333333333333</v>
      </c>
      <c r="D29" s="61">
        <v>8</v>
      </c>
      <c r="E29" s="62">
        <f>C29+D29</f>
      </c>
      <c r="F29" s="19"/>
      <c r="G29" s="19"/>
      <c r="H29" s="26">
        <f>F29+G29</f>
      </c>
      <c r="I29" s="52" t="s">
        <v>13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8"/>
      <c r="V29" s="8"/>
      <c r="W29" s="8"/>
      <c r="X29" s="8"/>
    </row>
    <row x14ac:dyDescent="0.25" r="30" customHeight="1" ht="16.5">
      <c r="A30" s="28">
        <v>26</v>
      </c>
      <c r="B30" s="17">
        <v>22222025</v>
      </c>
      <c r="C30" s="61">
        <v>1.33333333333333</v>
      </c>
      <c r="D30" s="61">
        <v>5</v>
      </c>
      <c r="E30" s="62">
        <f>C30+D30</f>
      </c>
      <c r="F30" s="13">
        <v>0.25</v>
      </c>
      <c r="G30" s="22">
        <v>0</v>
      </c>
      <c r="H30" s="23">
        <f>F30+G30</f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8"/>
      <c r="V30" s="8"/>
      <c r="W30" s="8"/>
      <c r="X30" s="8"/>
    </row>
    <row x14ac:dyDescent="0.25" r="31" customHeight="1" ht="16.5">
      <c r="A31" s="28">
        <v>27</v>
      </c>
      <c r="B31" s="17">
        <v>22222033</v>
      </c>
      <c r="C31" s="61">
        <v>2.5</v>
      </c>
      <c r="D31" s="61">
        <v>5</v>
      </c>
      <c r="E31" s="62">
        <f>C31+D31</f>
      </c>
      <c r="F31" s="13">
        <v>1.75</v>
      </c>
      <c r="G31" s="13">
        <v>0.25</v>
      </c>
      <c r="H31" s="26">
        <f>F31+G31</f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8"/>
      <c r="V31" s="8"/>
      <c r="W31" s="8"/>
      <c r="X31" s="8"/>
    </row>
    <row x14ac:dyDescent="0.25" r="32" customHeight="1" ht="16.5">
      <c r="A32" s="28">
        <v>28</v>
      </c>
      <c r="B32" s="17">
        <v>22221998</v>
      </c>
      <c r="C32" s="61">
        <v>3.16666666666667</v>
      </c>
      <c r="D32" s="61">
        <v>5</v>
      </c>
      <c r="E32" s="62">
        <f>C32+D32</f>
      </c>
      <c r="F32" s="13">
        <v>0.5</v>
      </c>
      <c r="G32" s="13">
        <v>1.25</v>
      </c>
      <c r="H32" s="23">
        <f>F32+G32</f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8"/>
      <c r="V32" s="8"/>
      <c r="W32" s="8"/>
      <c r="X32" s="8"/>
    </row>
    <row x14ac:dyDescent="0.25" r="33" customHeight="1" ht="16.5">
      <c r="A33" s="28">
        <v>29</v>
      </c>
      <c r="B33" s="17">
        <v>22222089</v>
      </c>
      <c r="C33" s="61">
        <v>6.33333333333333</v>
      </c>
      <c r="D33" s="61">
        <v>5</v>
      </c>
      <c r="E33" s="62">
        <f>C33+D33</f>
      </c>
      <c r="F33" s="13">
        <v>5.5</v>
      </c>
      <c r="G33" s="22">
        <v>4</v>
      </c>
      <c r="H33" s="23">
        <f>F33+G33</f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8"/>
      <c r="V33" s="8"/>
      <c r="W33" s="8"/>
      <c r="X33" s="8"/>
    </row>
    <row x14ac:dyDescent="0.25" r="34" customHeight="1" ht="16.5">
      <c r="A34" s="28">
        <v>30</v>
      </c>
      <c r="B34" s="17">
        <v>22222030</v>
      </c>
      <c r="C34" s="61">
        <v>5</v>
      </c>
      <c r="D34" s="61">
        <v>5</v>
      </c>
      <c r="E34" s="62">
        <f>C34+D34</f>
      </c>
      <c r="F34" s="13">
        <v>4.25</v>
      </c>
      <c r="G34" s="13">
        <v>1.75</v>
      </c>
      <c r="H34" s="26">
        <f>F34+G34</f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8"/>
      <c r="V34" s="8"/>
      <c r="W34" s="8"/>
      <c r="X34" s="8"/>
    </row>
    <row x14ac:dyDescent="0.25" r="35" customHeight="1" ht="16.5">
      <c r="A35" s="28">
        <v>31</v>
      </c>
      <c r="B35" s="17">
        <v>22222028</v>
      </c>
      <c r="C35" s="61">
        <v>7.5</v>
      </c>
      <c r="D35" s="61">
        <v>5.5</v>
      </c>
      <c r="E35" s="62">
        <f>C35+D35</f>
      </c>
      <c r="F35" s="13">
        <v>4.5</v>
      </c>
      <c r="G35" s="13">
        <v>3.75</v>
      </c>
      <c r="H35" s="23">
        <f>F35+G35</f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8"/>
      <c r="V35" s="8"/>
      <c r="W35" s="8"/>
      <c r="X35" s="8"/>
    </row>
    <row x14ac:dyDescent="0.25" r="36" customHeight="1" ht="16.5">
      <c r="A36" s="28">
        <v>32</v>
      </c>
      <c r="B36" s="17">
        <v>22222024</v>
      </c>
      <c r="C36" s="61">
        <v>5.16666666666667</v>
      </c>
      <c r="D36" s="61">
        <v>5</v>
      </c>
      <c r="E36" s="62">
        <f>C36+D36</f>
      </c>
      <c r="F36" s="13">
        <v>4.25</v>
      </c>
      <c r="G36" s="13">
        <v>5.5</v>
      </c>
      <c r="H36" s="23">
        <f>F36+G36</f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8"/>
      <c r="V36" s="8"/>
      <c r="W36" s="8"/>
      <c r="X36" s="8"/>
    </row>
    <row x14ac:dyDescent="0.25" r="37" customHeight="1" ht="16.5">
      <c r="A37" s="28">
        <v>33</v>
      </c>
      <c r="B37" s="17">
        <v>22222085</v>
      </c>
      <c r="C37" s="61">
        <v>6</v>
      </c>
      <c r="D37" s="61">
        <v>6.75</v>
      </c>
      <c r="E37" s="62">
        <f>C37+D37</f>
      </c>
      <c r="F37" s="13">
        <v>2.25</v>
      </c>
      <c r="G37" s="13">
        <v>3.25</v>
      </c>
      <c r="H37" s="23">
        <f>F37+G37</f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8"/>
      <c r="V37" s="8"/>
      <c r="W37" s="8"/>
      <c r="X37" s="8"/>
    </row>
    <row x14ac:dyDescent="0.25" r="38" customHeight="1" ht="16.5">
      <c r="A38" s="28">
        <v>34</v>
      </c>
      <c r="B38" s="17">
        <v>22222041</v>
      </c>
      <c r="C38" s="61">
        <v>3.33333333333333</v>
      </c>
      <c r="D38" s="61">
        <v>1.5</v>
      </c>
      <c r="E38" s="62">
        <f>C38+D38</f>
      </c>
      <c r="F38" s="13">
        <v>8.5</v>
      </c>
      <c r="G38" s="13">
        <v>2.5</v>
      </c>
      <c r="H38" s="26">
        <f>F38+G38</f>
      </c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8"/>
      <c r="V38" s="8"/>
      <c r="W38" s="8"/>
      <c r="X38" s="8"/>
    </row>
    <row x14ac:dyDescent="0.25" r="39" customHeight="1" ht="16.5">
      <c r="A39" s="28">
        <v>35</v>
      </c>
      <c r="B39" s="17">
        <v>22222239</v>
      </c>
      <c r="C39" s="61">
        <v>6.33333333333333</v>
      </c>
      <c r="D39" s="61">
        <v>2.5</v>
      </c>
      <c r="E39" s="62">
        <f>C39+D39</f>
      </c>
      <c r="F39" s="13">
        <v>4.75</v>
      </c>
      <c r="G39" s="22">
        <v>0</v>
      </c>
      <c r="H39" s="23">
        <f>F39+G39</f>
      </c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8"/>
      <c r="V39" s="8"/>
      <c r="W39" s="8"/>
      <c r="X39" s="8"/>
    </row>
    <row x14ac:dyDescent="0.25" r="40" customHeight="1" ht="16.5">
      <c r="A40" s="28">
        <v>36</v>
      </c>
      <c r="B40" s="17">
        <v>22222046</v>
      </c>
      <c r="C40" s="61">
        <v>6.66666666666667</v>
      </c>
      <c r="D40" s="61">
        <v>2.5</v>
      </c>
      <c r="E40" s="62">
        <f>C40+D40</f>
      </c>
      <c r="F40" s="13">
        <v>4.25</v>
      </c>
      <c r="G40" s="22">
        <v>3</v>
      </c>
      <c r="H40" s="23">
        <f>F40+G40</f>
      </c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8"/>
      <c r="V40" s="8"/>
      <c r="W40" s="8"/>
      <c r="X40" s="8"/>
    </row>
    <row x14ac:dyDescent="0.25" r="41" customHeight="1" ht="16.5">
      <c r="A41" s="2" t="s">
        <v>12</v>
      </c>
      <c r="B41" s="2"/>
      <c r="C41" s="61"/>
      <c r="D41" s="61"/>
      <c r="E41" s="62"/>
      <c r="F41" s="19"/>
      <c r="G41" s="19"/>
      <c r="H41" s="29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8"/>
      <c r="V41" s="8"/>
      <c r="W41" s="8"/>
      <c r="X41" s="8"/>
    </row>
    <row x14ac:dyDescent="0.25" r="42" customHeight="1" ht="16.5">
      <c r="A42" s="28">
        <v>37</v>
      </c>
      <c r="B42" s="28">
        <v>22122375</v>
      </c>
      <c r="C42" s="61">
        <v>1.33333333333333</v>
      </c>
      <c r="D42" s="61">
        <v>5</v>
      </c>
      <c r="E42" s="62">
        <f>C42+D42</f>
      </c>
      <c r="F42" s="13">
        <v>1.25</v>
      </c>
      <c r="G42" s="22">
        <v>0</v>
      </c>
      <c r="H42" s="23">
        <f>F42+G42</f>
      </c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8"/>
      <c r="V42" s="8"/>
      <c r="W42" s="8"/>
      <c r="X42" s="8"/>
    </row>
    <row x14ac:dyDescent="0.25" r="43" customHeight="1" ht="16.5">
      <c r="A43" s="28">
        <v>38</v>
      </c>
      <c r="B43" s="28">
        <v>22022853</v>
      </c>
      <c r="C43" s="61">
        <v>1.16666666666667</v>
      </c>
      <c r="D43" s="61">
        <v>5</v>
      </c>
      <c r="E43" s="62">
        <f>C43+D43</f>
      </c>
      <c r="F43" s="22">
        <v>0</v>
      </c>
      <c r="G43" s="13">
        <v>0.25</v>
      </c>
      <c r="H43" s="23">
        <f>F43+G43</f>
      </c>
      <c r="I43" s="52"/>
      <c r="J43" s="52"/>
      <c r="K43" s="52"/>
      <c r="L43" s="52"/>
      <c r="M43" s="52"/>
      <c r="N43" s="52"/>
      <c r="O43" s="52"/>
      <c r="P43" s="52"/>
      <c r="Q43" s="8"/>
      <c r="R43" s="8"/>
      <c r="S43" s="8"/>
      <c r="T43" s="8"/>
      <c r="U43" s="8"/>
      <c r="V43" s="8"/>
      <c r="W43" s="8"/>
      <c r="X43" s="8"/>
    </row>
    <row x14ac:dyDescent="0.25" r="44" customHeight="1" ht="16.5">
      <c r="A44" s="28">
        <v>39</v>
      </c>
      <c r="B44" s="28">
        <v>22121829</v>
      </c>
      <c r="C44" s="61">
        <v>0</v>
      </c>
      <c r="D44" s="61">
        <v>0</v>
      </c>
      <c r="E44" s="62">
        <f>C44+D44</f>
      </c>
      <c r="F44" s="19"/>
      <c r="G44" s="19"/>
      <c r="H44" s="26">
        <f>F44+G44</f>
      </c>
      <c r="I44" s="52" t="s">
        <v>13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x14ac:dyDescent="0.25" r="45" customHeight="1" ht="18.75">
      <c r="A45" s="28">
        <v>40</v>
      </c>
      <c r="B45" s="28">
        <v>21923111</v>
      </c>
      <c r="C45" s="56">
        <v>5.16666666666667</v>
      </c>
      <c r="D45" s="56">
        <v>2.5</v>
      </c>
      <c r="E45" s="62">
        <f>C45+D45</f>
      </c>
      <c r="F45" s="43">
        <v>2.5</v>
      </c>
      <c r="G45" s="43">
        <v>0.25</v>
      </c>
      <c r="H45" s="23">
        <f>F45+G45</f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x14ac:dyDescent="0.25" r="46" customHeight="1" ht="16.5">
      <c r="A46" s="67"/>
      <c r="B46" s="67"/>
      <c r="C46" s="68"/>
      <c r="D46" s="68"/>
      <c r="E46" s="69"/>
      <c r="F46" s="58"/>
      <c r="G46" s="58"/>
      <c r="H46" s="59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x14ac:dyDescent="0.25" r="47" customHeight="1" ht="16.5">
      <c r="A47" s="67"/>
      <c r="B47" s="67"/>
      <c r="C47" s="68"/>
      <c r="D47" s="68"/>
      <c r="E47" s="69"/>
      <c r="F47" s="58"/>
      <c r="G47" s="58"/>
      <c r="H47" s="70">
        <f>SUM(H5:H46)/37</f>
      </c>
      <c r="I47" s="52" t="s">
        <v>26</v>
      </c>
      <c r="J47" s="52"/>
      <c r="K47" s="52"/>
      <c r="L47" s="52"/>
      <c r="M47" s="52"/>
      <c r="N47" s="52"/>
      <c r="O47" s="52"/>
      <c r="P47" s="52"/>
      <c r="Q47" s="8"/>
      <c r="R47" s="8"/>
      <c r="S47" s="8"/>
      <c r="T47" s="8"/>
      <c r="U47" s="8"/>
      <c r="V47" s="8"/>
      <c r="W47" s="8"/>
      <c r="X47" s="8"/>
    </row>
    <row x14ac:dyDescent="0.25" r="48" customHeight="1" ht="16.5">
      <c r="A48" s="30"/>
      <c r="B48" s="30"/>
      <c r="C48" s="71"/>
      <c r="D48" s="71"/>
      <c r="E48" s="71"/>
      <c r="F48" s="7"/>
      <c r="G48" s="7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x14ac:dyDescent="0.25" r="49" customHeight="1" ht="16.5">
      <c r="A49" s="30"/>
      <c r="B49" s="30"/>
      <c r="C49" s="71"/>
      <c r="D49" s="71"/>
      <c r="E49" s="71"/>
      <c r="F49" s="7"/>
      <c r="G49" s="7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x14ac:dyDescent="0.25" r="50" customHeight="1" ht="16.5">
      <c r="A50" s="30"/>
      <c r="B50" s="30"/>
      <c r="C50" s="71"/>
      <c r="D50" s="71"/>
      <c r="E50" s="71"/>
      <c r="F50" s="7"/>
      <c r="G50" s="7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x14ac:dyDescent="0.25" r="51" customHeight="1" ht="16.5">
      <c r="A51" s="30"/>
      <c r="B51" s="30"/>
      <c r="C51" s="71"/>
      <c r="D51" s="71"/>
      <c r="E51" s="71"/>
      <c r="F51" s="7"/>
      <c r="G51" s="7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x14ac:dyDescent="0.25" r="52" customHeight="1" ht="16.5">
      <c r="A52" s="30"/>
      <c r="B52" s="30"/>
      <c r="C52" s="71"/>
      <c r="D52" s="71"/>
      <c r="E52" s="71"/>
      <c r="F52" s="7"/>
      <c r="G52" s="7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x14ac:dyDescent="0.25" r="53" customHeight="1" ht="16.5">
      <c r="A53" s="30"/>
      <c r="B53" s="30"/>
      <c r="C53" s="71"/>
      <c r="D53" s="71"/>
      <c r="E53" s="71"/>
      <c r="F53" s="7"/>
      <c r="G53" s="7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x14ac:dyDescent="0.25" r="54" customHeight="1" ht="16.5">
      <c r="A54" s="30"/>
      <c r="B54" s="30"/>
      <c r="C54" s="71"/>
      <c r="D54" s="71"/>
      <c r="E54" s="71"/>
      <c r="F54" s="7"/>
      <c r="G54" s="7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x14ac:dyDescent="0.25" r="55" customHeight="1" ht="16.5">
      <c r="A55" s="30"/>
      <c r="B55" s="30"/>
      <c r="C55" s="71"/>
      <c r="D55" s="71"/>
      <c r="E55" s="71"/>
      <c r="F55" s="7"/>
      <c r="G55" s="7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x14ac:dyDescent="0.25" r="56" customHeight="1" ht="16.5">
      <c r="A56" s="30"/>
      <c r="B56" s="30"/>
      <c r="C56" s="71"/>
      <c r="D56" s="71"/>
      <c r="E56" s="71"/>
      <c r="F56" s="7"/>
      <c r="G56" s="7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x14ac:dyDescent="0.25" r="57" customHeight="1" ht="16.5">
      <c r="A57" s="30"/>
      <c r="B57" s="30"/>
      <c r="C57" s="71"/>
      <c r="D57" s="71"/>
      <c r="E57" s="71"/>
      <c r="F57" s="7"/>
      <c r="G57" s="7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x14ac:dyDescent="0.25" r="58" customHeight="1" ht="16.5">
      <c r="A58" s="30"/>
      <c r="B58" s="30"/>
      <c r="C58" s="71"/>
      <c r="D58" s="71"/>
      <c r="E58" s="71"/>
      <c r="F58" s="7"/>
      <c r="G58" s="7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x14ac:dyDescent="0.25" r="59" customHeight="1" ht="16.5">
      <c r="A59" s="30"/>
      <c r="B59" s="30"/>
      <c r="C59" s="71"/>
      <c r="D59" s="71"/>
      <c r="E59" s="71"/>
      <c r="F59" s="7"/>
      <c r="G59" s="7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x14ac:dyDescent="0.25" r="60" customHeight="1" ht="16.5">
      <c r="A60" s="30"/>
      <c r="B60" s="30"/>
      <c r="C60" s="71"/>
      <c r="D60" s="71"/>
      <c r="E60" s="71"/>
      <c r="F60" s="7"/>
      <c r="G60" s="7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x14ac:dyDescent="0.25" r="61" customHeight="1" ht="16.5">
      <c r="A61" s="30"/>
      <c r="B61" s="30"/>
      <c r="C61" s="71"/>
      <c r="D61" s="71"/>
      <c r="E61" s="71"/>
      <c r="F61" s="7"/>
      <c r="G61" s="7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x14ac:dyDescent="0.25" r="62" customHeight="1" ht="16.5">
      <c r="A62" s="30"/>
      <c r="B62" s="30"/>
      <c r="C62" s="71"/>
      <c r="D62" s="71"/>
      <c r="E62" s="71"/>
      <c r="F62" s="7"/>
      <c r="G62" s="7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x14ac:dyDescent="0.25" r="63" customHeight="1" ht="16.5">
      <c r="A63" s="30"/>
      <c r="B63" s="30"/>
      <c r="C63" s="71"/>
      <c r="D63" s="71"/>
      <c r="E63" s="71"/>
      <c r="F63" s="7"/>
      <c r="G63" s="7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x14ac:dyDescent="0.25" r="64" customHeight="1" ht="16.5">
      <c r="A64" s="30"/>
      <c r="B64" s="30"/>
      <c r="C64" s="71"/>
      <c r="D64" s="71"/>
      <c r="E64" s="71"/>
      <c r="F64" s="7"/>
      <c r="G64" s="7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x14ac:dyDescent="0.25" r="65" customHeight="1" ht="16.5">
      <c r="A65" s="30"/>
      <c r="B65" s="30"/>
      <c r="C65" s="71"/>
      <c r="D65" s="71"/>
      <c r="E65" s="71"/>
      <c r="F65" s="7"/>
      <c r="G65" s="7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x14ac:dyDescent="0.25" r="66" customHeight="1" ht="16.5">
      <c r="A66" s="30"/>
      <c r="B66" s="30"/>
      <c r="C66" s="71"/>
      <c r="D66" s="71"/>
      <c r="E66" s="71"/>
      <c r="F66" s="7"/>
      <c r="G66" s="7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x14ac:dyDescent="0.25" r="67" customHeight="1" ht="16.5">
      <c r="A67" s="30"/>
      <c r="B67" s="30"/>
      <c r="C67" s="71"/>
      <c r="D67" s="71"/>
      <c r="E67" s="71"/>
      <c r="F67" s="7"/>
      <c r="G67" s="7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x14ac:dyDescent="0.25" r="68" customHeight="1" ht="16.5">
      <c r="A68" s="30"/>
      <c r="B68" s="30"/>
      <c r="C68" s="71"/>
      <c r="D68" s="71"/>
      <c r="E68" s="71"/>
      <c r="F68" s="7"/>
      <c r="G68" s="7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x14ac:dyDescent="0.25" r="69" customHeight="1" ht="16.5">
      <c r="A69" s="30"/>
      <c r="B69" s="30"/>
      <c r="C69" s="71"/>
      <c r="D69" s="71"/>
      <c r="E69" s="71"/>
      <c r="F69" s="7"/>
      <c r="G69" s="7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x14ac:dyDescent="0.25" r="70" customHeight="1" ht="16.5">
      <c r="A70" s="30"/>
      <c r="B70" s="30"/>
      <c r="C70" s="71"/>
      <c r="D70" s="71"/>
      <c r="E70" s="71"/>
      <c r="F70" s="7"/>
      <c r="G70" s="7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x14ac:dyDescent="0.25" r="71" customHeight="1" ht="16.5">
      <c r="A71" s="30"/>
      <c r="B71" s="30"/>
      <c r="C71" s="71"/>
      <c r="D71" s="71"/>
      <c r="E71" s="71"/>
      <c r="F71" s="7"/>
      <c r="G71" s="7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x14ac:dyDescent="0.25" r="72" customHeight="1" ht="16.5">
      <c r="A72" s="30"/>
      <c r="B72" s="30"/>
      <c r="C72" s="71"/>
      <c r="D72" s="71"/>
      <c r="E72" s="71"/>
      <c r="F72" s="7"/>
      <c r="G72" s="7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x14ac:dyDescent="0.25" r="73" customHeight="1" ht="16.5">
      <c r="A73" s="30"/>
      <c r="B73" s="30"/>
      <c r="C73" s="71"/>
      <c r="D73" s="71"/>
      <c r="E73" s="71"/>
      <c r="F73" s="7"/>
      <c r="G73" s="7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x14ac:dyDescent="0.25" r="74" customHeight="1" ht="16.5">
      <c r="A74" s="30"/>
      <c r="B74" s="30"/>
      <c r="C74" s="71"/>
      <c r="D74" s="71"/>
      <c r="E74" s="71"/>
      <c r="F74" s="7"/>
      <c r="G74" s="7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x14ac:dyDescent="0.25" r="75" customHeight="1" ht="16.5">
      <c r="A75" s="30"/>
      <c r="B75" s="30"/>
      <c r="C75" s="71"/>
      <c r="D75" s="71"/>
      <c r="E75" s="71"/>
      <c r="F75" s="7"/>
      <c r="G75" s="7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x14ac:dyDescent="0.25" r="76" customHeight="1" ht="16.5">
      <c r="A76" s="30"/>
      <c r="B76" s="30"/>
      <c r="C76" s="71"/>
      <c r="D76" s="71"/>
      <c r="E76" s="71"/>
      <c r="F76" s="7"/>
      <c r="G76" s="7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x14ac:dyDescent="0.25" r="77" customHeight="1" ht="16.5">
      <c r="A77" s="30"/>
      <c r="B77" s="30"/>
      <c r="C77" s="71"/>
      <c r="D77" s="71"/>
      <c r="E77" s="71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x14ac:dyDescent="0.25" r="78" customHeight="1" ht="16.5">
      <c r="A78" s="30"/>
      <c r="B78" s="30"/>
      <c r="C78" s="71"/>
      <c r="D78" s="71"/>
      <c r="E78" s="71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x14ac:dyDescent="0.25" r="79" customHeight="1" ht="16.5">
      <c r="A79" s="30"/>
      <c r="B79" s="30"/>
      <c r="C79" s="71"/>
      <c r="D79" s="71"/>
      <c r="E79" s="71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x14ac:dyDescent="0.25" r="80" customHeight="1" ht="16.5">
      <c r="A80" s="30"/>
      <c r="B80" s="30"/>
      <c r="C80" s="71"/>
      <c r="D80" s="71"/>
      <c r="E80" s="71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x14ac:dyDescent="0.25" r="81" customHeight="1" ht="16.5">
      <c r="A81" s="30"/>
      <c r="B81" s="30"/>
      <c r="C81" s="71"/>
      <c r="D81" s="71"/>
      <c r="E81" s="71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x14ac:dyDescent="0.25" r="82" customHeight="1" ht="16.5">
      <c r="A82" s="30"/>
      <c r="B82" s="30"/>
      <c r="C82" s="71"/>
      <c r="D82" s="71"/>
      <c r="E82" s="71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x14ac:dyDescent="0.25" r="83" customHeight="1" ht="16.5">
      <c r="A83" s="30"/>
      <c r="B83" s="30"/>
      <c r="C83" s="71"/>
      <c r="D83" s="71"/>
      <c r="E83" s="71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x14ac:dyDescent="0.25" r="84" customHeight="1" ht="16.5">
      <c r="A84" s="30"/>
      <c r="B84" s="30"/>
      <c r="C84" s="71"/>
      <c r="D84" s="71"/>
      <c r="E84" s="71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x14ac:dyDescent="0.25" r="85" customHeight="1" ht="16.5">
      <c r="A85" s="30"/>
      <c r="B85" s="30"/>
      <c r="C85" s="71"/>
      <c r="D85" s="71"/>
      <c r="E85" s="71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x14ac:dyDescent="0.25" r="86" customHeight="1" ht="16.5">
      <c r="A86" s="30"/>
      <c r="B86" s="30"/>
      <c r="C86" s="71"/>
      <c r="D86" s="71"/>
      <c r="E86" s="71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x14ac:dyDescent="0.25" r="87" customHeight="1" ht="16.5">
      <c r="A87" s="30"/>
      <c r="B87" s="30"/>
      <c r="C87" s="71"/>
      <c r="D87" s="71"/>
      <c r="E87" s="71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x14ac:dyDescent="0.25" r="88" customHeight="1" ht="16.5">
      <c r="A88" s="30"/>
      <c r="B88" s="30"/>
      <c r="C88" s="71"/>
      <c r="D88" s="71"/>
      <c r="E88" s="71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x14ac:dyDescent="0.25" r="89" customHeight="1" ht="16.5">
      <c r="A89" s="30"/>
      <c r="B89" s="30"/>
      <c r="C89" s="71"/>
      <c r="D89" s="71"/>
      <c r="E89" s="71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x14ac:dyDescent="0.25" r="90" customHeight="1" ht="16.5">
      <c r="A90" s="30"/>
      <c r="B90" s="30"/>
      <c r="C90" s="71"/>
      <c r="D90" s="71"/>
      <c r="E90" s="71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x14ac:dyDescent="0.25" r="91" customHeight="1" ht="16.5">
      <c r="A91" s="30"/>
      <c r="B91" s="30"/>
      <c r="C91" s="71"/>
      <c r="D91" s="71"/>
      <c r="E91" s="71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x14ac:dyDescent="0.25" r="92" customHeight="1" ht="16.5">
      <c r="A92" s="30"/>
      <c r="B92" s="30"/>
      <c r="C92" s="71"/>
      <c r="D92" s="71"/>
      <c r="E92" s="71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x14ac:dyDescent="0.25" r="93" customHeight="1" ht="16.5">
      <c r="A93" s="30"/>
      <c r="B93" s="30"/>
      <c r="C93" s="71"/>
      <c r="D93" s="71"/>
      <c r="E93" s="71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x14ac:dyDescent="0.25" r="94" customHeight="1" ht="16.5">
      <c r="A94" s="30"/>
      <c r="B94" s="30"/>
      <c r="C94" s="71"/>
      <c r="D94" s="71"/>
      <c r="E94" s="71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x14ac:dyDescent="0.25" r="95" customHeight="1" ht="16.5">
      <c r="A95" s="30"/>
      <c r="B95" s="30"/>
      <c r="C95" s="71"/>
      <c r="D95" s="71"/>
      <c r="E95" s="71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x14ac:dyDescent="0.25" r="96" customHeight="1" ht="16.5">
      <c r="A96" s="30"/>
      <c r="B96" s="30"/>
      <c r="C96" s="71"/>
      <c r="D96" s="71"/>
      <c r="E96" s="71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x14ac:dyDescent="0.25" r="97" customHeight="1" ht="16.5">
      <c r="A97" s="30"/>
      <c r="B97" s="30"/>
      <c r="C97" s="71"/>
      <c r="D97" s="71"/>
      <c r="E97" s="71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x14ac:dyDescent="0.25" r="98" customHeight="1" ht="16.5">
      <c r="A98" s="30"/>
      <c r="B98" s="30"/>
      <c r="C98" s="71"/>
      <c r="D98" s="71"/>
      <c r="E98" s="71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x14ac:dyDescent="0.25" r="99" customHeight="1" ht="16.5">
      <c r="A99" s="30"/>
      <c r="B99" s="30"/>
      <c r="C99" s="71"/>
      <c r="D99" s="71"/>
      <c r="E99" s="71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x14ac:dyDescent="0.25" r="100" customHeight="1" ht="16.5">
      <c r="A100" s="30"/>
      <c r="B100" s="30"/>
      <c r="C100" s="71"/>
      <c r="D100" s="71"/>
      <c r="E100" s="71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x14ac:dyDescent="0.25" r="101" customHeight="1" ht="16.5">
      <c r="A101" s="30"/>
      <c r="B101" s="30"/>
      <c r="C101" s="71"/>
      <c r="D101" s="71"/>
      <c r="E101" s="71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x14ac:dyDescent="0.25" r="102" customHeight="1" ht="16.5">
      <c r="A102" s="30"/>
      <c r="B102" s="30"/>
      <c r="C102" s="71"/>
      <c r="D102" s="71"/>
      <c r="E102" s="71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x14ac:dyDescent="0.25" r="103" customHeight="1" ht="16.5">
      <c r="A103" s="30"/>
      <c r="B103" s="30"/>
      <c r="C103" s="71"/>
      <c r="D103" s="71"/>
      <c r="E103" s="71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x14ac:dyDescent="0.25" r="104" customHeight="1" ht="16.5">
      <c r="A104" s="30"/>
      <c r="B104" s="30"/>
      <c r="C104" s="71"/>
      <c r="D104" s="71"/>
      <c r="E104" s="71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x14ac:dyDescent="0.25" r="105" customHeight="1" ht="16.5">
      <c r="A105" s="30"/>
      <c r="B105" s="30"/>
      <c r="C105" s="71"/>
      <c r="D105" s="71"/>
      <c r="E105" s="71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x14ac:dyDescent="0.25" r="106" customHeight="1" ht="16.5">
      <c r="A106" s="30"/>
      <c r="B106" s="30"/>
      <c r="C106" s="71"/>
      <c r="D106" s="71"/>
      <c r="E106" s="71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x14ac:dyDescent="0.25" r="107" customHeight="1" ht="16.5">
      <c r="A107" s="30"/>
      <c r="B107" s="30"/>
      <c r="C107" s="71"/>
      <c r="D107" s="71"/>
      <c r="E107" s="71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x14ac:dyDescent="0.25" r="108" customHeight="1" ht="16.5">
      <c r="A108" s="30"/>
      <c r="B108" s="30"/>
      <c r="C108" s="71"/>
      <c r="D108" s="71"/>
      <c r="E108" s="71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x14ac:dyDescent="0.25" r="109" customHeight="1" ht="16.5">
      <c r="A109" s="30"/>
      <c r="B109" s="30"/>
      <c r="C109" s="71"/>
      <c r="D109" s="71"/>
      <c r="E109" s="71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x14ac:dyDescent="0.25" r="110" customHeight="1" ht="16.5">
      <c r="A110" s="30"/>
      <c r="B110" s="30"/>
      <c r="C110" s="71"/>
      <c r="D110" s="71"/>
      <c r="E110" s="71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x14ac:dyDescent="0.25" r="111" customHeight="1" ht="16.5">
      <c r="A111" s="30"/>
      <c r="B111" s="30"/>
      <c r="C111" s="71"/>
      <c r="D111" s="71"/>
      <c r="E111" s="71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x14ac:dyDescent="0.25" r="112" customHeight="1" ht="16.5">
      <c r="A112" s="30"/>
      <c r="B112" s="30"/>
      <c r="C112" s="71"/>
      <c r="D112" s="71"/>
      <c r="E112" s="71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x14ac:dyDescent="0.25" r="113" customHeight="1" ht="16.5">
      <c r="A113" s="30"/>
      <c r="B113" s="30"/>
      <c r="C113" s="71"/>
      <c r="D113" s="71"/>
      <c r="E113" s="71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x14ac:dyDescent="0.25" r="114" customHeight="1" ht="16.5">
      <c r="A114" s="30"/>
      <c r="B114" s="30"/>
      <c r="C114" s="71"/>
      <c r="D114" s="71"/>
      <c r="E114" s="71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x14ac:dyDescent="0.25" r="115" customHeight="1" ht="16.5">
      <c r="A115" s="30"/>
      <c r="B115" s="30"/>
      <c r="C115" s="71"/>
      <c r="D115" s="71"/>
      <c r="E115" s="71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x14ac:dyDescent="0.25" r="116" customHeight="1" ht="16.5">
      <c r="A116" s="30"/>
      <c r="B116" s="30"/>
      <c r="C116" s="71"/>
      <c r="D116" s="71"/>
      <c r="E116" s="71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x14ac:dyDescent="0.25" r="117" customHeight="1" ht="16.5">
      <c r="A117" s="30"/>
      <c r="B117" s="30"/>
      <c r="C117" s="71"/>
      <c r="D117" s="71"/>
      <c r="E117" s="71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x14ac:dyDescent="0.25" r="118" customHeight="1" ht="16.5">
      <c r="A118" s="30"/>
      <c r="B118" s="30"/>
      <c r="C118" s="71"/>
      <c r="D118" s="71"/>
      <c r="E118" s="71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x14ac:dyDescent="0.25" r="119" customHeight="1" ht="16.5">
      <c r="A119" s="30"/>
      <c r="B119" s="30"/>
      <c r="C119" s="71"/>
      <c r="D119" s="71"/>
      <c r="E119" s="71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x14ac:dyDescent="0.25" r="120" customHeight="1" ht="16.5">
      <c r="A120" s="30"/>
      <c r="B120" s="30"/>
      <c r="C120" s="71"/>
      <c r="D120" s="71"/>
      <c r="E120" s="71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x14ac:dyDescent="0.25" r="121" customHeight="1" ht="16.5">
      <c r="A121" s="30"/>
      <c r="B121" s="30"/>
      <c r="C121" s="71"/>
      <c r="D121" s="71"/>
      <c r="E121" s="71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x14ac:dyDescent="0.25" r="122" customHeight="1" ht="16.5">
      <c r="A122" s="30"/>
      <c r="B122" s="30"/>
      <c r="C122" s="71"/>
      <c r="D122" s="71"/>
      <c r="E122" s="71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x14ac:dyDescent="0.25" r="123" customHeight="1" ht="16.5">
      <c r="A123" s="30"/>
      <c r="B123" s="30"/>
      <c r="C123" s="71"/>
      <c r="D123" s="71"/>
      <c r="E123" s="71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x14ac:dyDescent="0.25" r="124" customHeight="1" ht="16.5">
      <c r="A124" s="30"/>
      <c r="B124" s="30"/>
      <c r="C124" s="71"/>
      <c r="D124" s="71"/>
      <c r="E124" s="71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x14ac:dyDescent="0.25" r="125" customHeight="1" ht="16.5">
      <c r="A125" s="30"/>
      <c r="B125" s="30"/>
      <c r="C125" s="71"/>
      <c r="D125" s="71"/>
      <c r="E125" s="71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x14ac:dyDescent="0.25" r="126" customHeight="1" ht="16.5">
      <c r="A126" s="30"/>
      <c r="B126" s="30"/>
      <c r="C126" s="71"/>
      <c r="D126" s="71"/>
      <c r="E126" s="71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x14ac:dyDescent="0.25" r="127" customHeight="1" ht="16.5">
      <c r="A127" s="30"/>
      <c r="B127" s="30"/>
      <c r="C127" s="71"/>
      <c r="D127" s="71"/>
      <c r="E127" s="71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x14ac:dyDescent="0.25" r="128" customHeight="1" ht="16.5">
      <c r="A128" s="30"/>
      <c r="B128" s="30"/>
      <c r="C128" s="71"/>
      <c r="D128" s="71"/>
      <c r="E128" s="71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x14ac:dyDescent="0.25" r="129" customHeight="1" ht="16.5">
      <c r="A129" s="30"/>
      <c r="B129" s="30"/>
      <c r="C129" s="71"/>
      <c r="D129" s="71"/>
      <c r="E129" s="71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x14ac:dyDescent="0.25" r="130" customHeight="1" ht="16.5">
      <c r="A130" s="30"/>
      <c r="B130" s="30"/>
      <c r="C130" s="71"/>
      <c r="D130" s="71"/>
      <c r="E130" s="71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x14ac:dyDescent="0.25" r="131" customHeight="1" ht="16.5">
      <c r="A131" s="30"/>
      <c r="B131" s="30"/>
      <c r="C131" s="71"/>
      <c r="D131" s="71"/>
      <c r="E131" s="71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x14ac:dyDescent="0.25" r="132" customHeight="1" ht="16.5">
      <c r="A132" s="30"/>
      <c r="B132" s="30"/>
      <c r="C132" s="71"/>
      <c r="D132" s="71"/>
      <c r="E132" s="71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x14ac:dyDescent="0.25" r="133" customHeight="1" ht="16.5">
      <c r="A133" s="30"/>
      <c r="B133" s="30"/>
      <c r="C133" s="71"/>
      <c r="D133" s="71"/>
      <c r="E133" s="71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x14ac:dyDescent="0.25" r="134" customHeight="1" ht="16.5">
      <c r="A134" s="30"/>
      <c r="B134" s="30"/>
      <c r="C134" s="71"/>
      <c r="D134" s="71"/>
      <c r="E134" s="71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x14ac:dyDescent="0.25" r="135" customHeight="1" ht="16.5">
      <c r="A135" s="30"/>
      <c r="B135" s="30"/>
      <c r="C135" s="71"/>
      <c r="D135" s="71"/>
      <c r="E135" s="71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x14ac:dyDescent="0.25" r="136" customHeight="1" ht="16.5">
      <c r="A136" s="30"/>
      <c r="B136" s="30"/>
      <c r="C136" s="71"/>
      <c r="D136" s="71"/>
      <c r="E136" s="71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x14ac:dyDescent="0.25" r="137" customHeight="1" ht="16.5">
      <c r="A137" s="30"/>
      <c r="B137" s="30"/>
      <c r="C137" s="71"/>
      <c r="D137" s="71"/>
      <c r="E137" s="71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x14ac:dyDescent="0.25" r="138" customHeight="1" ht="16.5">
      <c r="A138" s="30"/>
      <c r="B138" s="30"/>
      <c r="C138" s="71"/>
      <c r="D138" s="71"/>
      <c r="E138" s="71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x14ac:dyDescent="0.25" r="139" customHeight="1" ht="16.5">
      <c r="A139" s="30"/>
      <c r="B139" s="30"/>
      <c r="C139" s="71"/>
      <c r="D139" s="71"/>
      <c r="E139" s="71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x14ac:dyDescent="0.25" r="140" customHeight="1" ht="16.5">
      <c r="A140" s="30"/>
      <c r="B140" s="30"/>
      <c r="C140" s="71"/>
      <c r="D140" s="71"/>
      <c r="E140" s="71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x14ac:dyDescent="0.25" r="141" customHeight="1" ht="16.5">
      <c r="A141" s="30"/>
      <c r="B141" s="30"/>
      <c r="C141" s="71"/>
      <c r="D141" s="71"/>
      <c r="E141" s="71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x14ac:dyDescent="0.25" r="142" customHeight="1" ht="16.5">
      <c r="A142" s="30"/>
      <c r="B142" s="30"/>
      <c r="C142" s="71"/>
      <c r="D142" s="71"/>
      <c r="E142" s="71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x14ac:dyDescent="0.25" r="143" customHeight="1" ht="16.5">
      <c r="A143" s="30"/>
      <c r="B143" s="30"/>
      <c r="C143" s="71"/>
      <c r="D143" s="71"/>
      <c r="E143" s="71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x14ac:dyDescent="0.25" r="144" customHeight="1" ht="16.5">
      <c r="A144" s="30"/>
      <c r="B144" s="30"/>
      <c r="C144" s="71"/>
      <c r="D144" s="71"/>
      <c r="E144" s="71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x14ac:dyDescent="0.25" r="145" customHeight="1" ht="16.5">
      <c r="A145" s="30"/>
      <c r="B145" s="30"/>
      <c r="C145" s="71"/>
      <c r="D145" s="71"/>
      <c r="E145" s="71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x14ac:dyDescent="0.25" r="146" customHeight="1" ht="16.5">
      <c r="A146" s="30"/>
      <c r="B146" s="30"/>
      <c r="C146" s="71"/>
      <c r="D146" s="71"/>
      <c r="E146" s="71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x14ac:dyDescent="0.25" r="147" customHeight="1" ht="16.5">
      <c r="A147" s="30"/>
      <c r="B147" s="30"/>
      <c r="C147" s="71"/>
      <c r="D147" s="71"/>
      <c r="E147" s="71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x14ac:dyDescent="0.25" r="148" customHeight="1" ht="16.5">
      <c r="A148" s="30"/>
      <c r="B148" s="30"/>
      <c r="C148" s="71"/>
      <c r="D148" s="71"/>
      <c r="E148" s="71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x14ac:dyDescent="0.25" r="149" customHeight="1" ht="16.5">
      <c r="A149" s="30"/>
      <c r="B149" s="30"/>
      <c r="C149" s="71"/>
      <c r="D149" s="71"/>
      <c r="E149" s="71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x14ac:dyDescent="0.25" r="150" customHeight="1" ht="16.5">
      <c r="A150" s="30"/>
      <c r="B150" s="30"/>
      <c r="C150" s="71"/>
      <c r="D150" s="71"/>
      <c r="E150" s="71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x14ac:dyDescent="0.25" r="151" customHeight="1" ht="16.5">
      <c r="A151" s="30"/>
      <c r="B151" s="30"/>
      <c r="C151" s="71"/>
      <c r="D151" s="71"/>
      <c r="E151" s="71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x14ac:dyDescent="0.25" r="152" customHeight="1" ht="16.5">
      <c r="A152" s="30"/>
      <c r="B152" s="30"/>
      <c r="C152" s="71"/>
      <c r="D152" s="71"/>
      <c r="E152" s="71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x14ac:dyDescent="0.25" r="153" customHeight="1" ht="16.5">
      <c r="A153" s="30"/>
      <c r="B153" s="30"/>
      <c r="C153" s="71"/>
      <c r="D153" s="71"/>
      <c r="E153" s="71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x14ac:dyDescent="0.25" r="154" customHeight="1" ht="16.5">
      <c r="A154" s="30"/>
      <c r="B154" s="30"/>
      <c r="C154" s="71"/>
      <c r="D154" s="71"/>
      <c r="E154" s="71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x14ac:dyDescent="0.25" r="155" customHeight="1" ht="16.5">
      <c r="A155" s="30"/>
      <c r="B155" s="30"/>
      <c r="C155" s="71"/>
      <c r="D155" s="71"/>
      <c r="E155" s="71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x14ac:dyDescent="0.25" r="156" customHeight="1" ht="16.5">
      <c r="A156" s="30"/>
      <c r="B156" s="30"/>
      <c r="C156" s="71"/>
      <c r="D156" s="71"/>
      <c r="E156" s="71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x14ac:dyDescent="0.25" r="157" customHeight="1" ht="16.5">
      <c r="A157" s="30"/>
      <c r="B157" s="30"/>
      <c r="C157" s="71"/>
      <c r="D157" s="71"/>
      <c r="E157" s="71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x14ac:dyDescent="0.25" r="158" customHeight="1" ht="16.5">
      <c r="A158" s="30"/>
      <c r="B158" s="30"/>
      <c r="C158" s="71"/>
      <c r="D158" s="71"/>
      <c r="E158" s="71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x14ac:dyDescent="0.25" r="159" customHeight="1" ht="16.5">
      <c r="A159" s="30"/>
      <c r="B159" s="30"/>
      <c r="C159" s="71"/>
      <c r="D159" s="71"/>
      <c r="E159" s="71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x14ac:dyDescent="0.25" r="160" customHeight="1" ht="16.5">
      <c r="A160" s="30"/>
      <c r="B160" s="30"/>
      <c r="C160" s="71"/>
      <c r="D160" s="71"/>
      <c r="E160" s="71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x14ac:dyDescent="0.25" r="161" customHeight="1" ht="16.5">
      <c r="A161" s="30"/>
      <c r="B161" s="30"/>
      <c r="C161" s="71"/>
      <c r="D161" s="71"/>
      <c r="E161" s="71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x14ac:dyDescent="0.25" r="162" customHeight="1" ht="16.5">
      <c r="A162" s="30"/>
      <c r="B162" s="30"/>
      <c r="C162" s="71"/>
      <c r="D162" s="71"/>
      <c r="E162" s="71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x14ac:dyDescent="0.25" r="163" customHeight="1" ht="16.5">
      <c r="A163" s="30"/>
      <c r="B163" s="30"/>
      <c r="C163" s="71"/>
      <c r="D163" s="71"/>
      <c r="E163" s="71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x14ac:dyDescent="0.25" r="164" customHeight="1" ht="16.5">
      <c r="A164" s="30"/>
      <c r="B164" s="30"/>
      <c r="C164" s="71"/>
      <c r="D164" s="71"/>
      <c r="E164" s="71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x14ac:dyDescent="0.25" r="165" customHeight="1" ht="16.5">
      <c r="A165" s="30"/>
      <c r="B165" s="30"/>
      <c r="C165" s="71"/>
      <c r="D165" s="71"/>
      <c r="E165" s="71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x14ac:dyDescent="0.25" r="166" customHeight="1" ht="16.5">
      <c r="A166" s="30"/>
      <c r="B166" s="30"/>
      <c r="C166" s="71"/>
      <c r="D166" s="71"/>
      <c r="E166" s="71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x14ac:dyDescent="0.25" r="167" customHeight="1" ht="16.5">
      <c r="A167" s="30"/>
      <c r="B167" s="30"/>
      <c r="C167" s="71"/>
      <c r="D167" s="71"/>
      <c r="E167" s="71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x14ac:dyDescent="0.25" r="168" customHeight="1" ht="16.5">
      <c r="A168" s="30"/>
      <c r="B168" s="30"/>
      <c r="C168" s="71"/>
      <c r="D168" s="71"/>
      <c r="E168" s="71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x14ac:dyDescent="0.25" r="169" customHeight="1" ht="16.5">
      <c r="A169" s="30"/>
      <c r="B169" s="30"/>
      <c r="C169" s="71"/>
      <c r="D169" s="71"/>
      <c r="E169" s="71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x14ac:dyDescent="0.25" r="170" customHeight="1" ht="16.5">
      <c r="A170" s="30"/>
      <c r="B170" s="30"/>
      <c r="C170" s="71"/>
      <c r="D170" s="71"/>
      <c r="E170" s="71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x14ac:dyDescent="0.25" r="171" customHeight="1" ht="16.5">
      <c r="A171" s="30"/>
      <c r="B171" s="30"/>
      <c r="C171" s="71"/>
      <c r="D171" s="71"/>
      <c r="E171" s="71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x14ac:dyDescent="0.25" r="172" customHeight="1" ht="16.5">
      <c r="A172" s="30"/>
      <c r="B172" s="30"/>
      <c r="C172" s="71"/>
      <c r="D172" s="71"/>
      <c r="E172" s="71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x14ac:dyDescent="0.25" r="173" customHeight="1" ht="16.5">
      <c r="A173" s="30"/>
      <c r="B173" s="30"/>
      <c r="C173" s="71"/>
      <c r="D173" s="71"/>
      <c r="E173" s="71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x14ac:dyDescent="0.25" r="174" customHeight="1" ht="16.5">
      <c r="A174" s="30"/>
      <c r="B174" s="30"/>
      <c r="C174" s="71"/>
      <c r="D174" s="71"/>
      <c r="E174" s="71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x14ac:dyDescent="0.25" r="175" customHeight="1" ht="16.5">
      <c r="A175" s="30"/>
      <c r="B175" s="30"/>
      <c r="C175" s="71"/>
      <c r="D175" s="71"/>
      <c r="E175" s="71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x14ac:dyDescent="0.25" r="176" customHeight="1" ht="16.5">
      <c r="A176" s="30"/>
      <c r="B176" s="30"/>
      <c r="C176" s="71"/>
      <c r="D176" s="71"/>
      <c r="E176" s="71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x14ac:dyDescent="0.25" r="177" customHeight="1" ht="16.5">
      <c r="A177" s="30"/>
      <c r="B177" s="30"/>
      <c r="C177" s="71"/>
      <c r="D177" s="71"/>
      <c r="E177" s="71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x14ac:dyDescent="0.25" r="178" customHeight="1" ht="16.5">
      <c r="A178" s="30"/>
      <c r="B178" s="30"/>
      <c r="C178" s="71"/>
      <c r="D178" s="71"/>
      <c r="E178" s="71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x14ac:dyDescent="0.25" r="179" customHeight="1" ht="16.5">
      <c r="A179" s="30"/>
      <c r="B179" s="30"/>
      <c r="C179" s="71"/>
      <c r="D179" s="71"/>
      <c r="E179" s="71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x14ac:dyDescent="0.25" r="180" customHeight="1" ht="16.5">
      <c r="A180" s="30"/>
      <c r="B180" s="30"/>
      <c r="C180" s="71"/>
      <c r="D180" s="71"/>
      <c r="E180" s="71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x14ac:dyDescent="0.25" r="181" customHeight="1" ht="16.5">
      <c r="A181" s="30"/>
      <c r="B181" s="30"/>
      <c r="C181" s="71"/>
      <c r="D181" s="71"/>
      <c r="E181" s="71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x14ac:dyDescent="0.25" r="182" customHeight="1" ht="16.5">
      <c r="A182" s="30"/>
      <c r="B182" s="30"/>
      <c r="C182" s="71"/>
      <c r="D182" s="71"/>
      <c r="E182" s="71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x14ac:dyDescent="0.25" r="183" customHeight="1" ht="16.5">
      <c r="A183" s="30"/>
      <c r="B183" s="30"/>
      <c r="C183" s="71"/>
      <c r="D183" s="71"/>
      <c r="E183" s="71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x14ac:dyDescent="0.25" r="184" customHeight="1" ht="16.5">
      <c r="A184" s="30"/>
      <c r="B184" s="30"/>
      <c r="C184" s="71"/>
      <c r="D184" s="71"/>
      <c r="E184" s="71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x14ac:dyDescent="0.25" r="185" customHeight="1" ht="16.5">
      <c r="A185" s="30"/>
      <c r="B185" s="30"/>
      <c r="C185" s="71"/>
      <c r="D185" s="71"/>
      <c r="E185" s="71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x14ac:dyDescent="0.25" r="186" customHeight="1" ht="16.5">
      <c r="A186" s="30"/>
      <c r="B186" s="30"/>
      <c r="C186" s="71"/>
      <c r="D186" s="71"/>
      <c r="E186" s="71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x14ac:dyDescent="0.25" r="187" customHeight="1" ht="16.5">
      <c r="A187" s="30"/>
      <c r="B187" s="30"/>
      <c r="C187" s="71"/>
      <c r="D187" s="71"/>
      <c r="E187" s="71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x14ac:dyDescent="0.25" r="188" customHeight="1" ht="16.5">
      <c r="A188" s="30"/>
      <c r="B188" s="30"/>
      <c r="C188" s="71"/>
      <c r="D188" s="71"/>
      <c r="E188" s="71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x14ac:dyDescent="0.25" r="189" customHeight="1" ht="16.5">
      <c r="A189" s="30"/>
      <c r="B189" s="30"/>
      <c r="C189" s="71"/>
      <c r="D189" s="71"/>
      <c r="E189" s="71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x14ac:dyDescent="0.25" r="190" customHeight="1" ht="16.5">
      <c r="A190" s="30"/>
      <c r="B190" s="30"/>
      <c r="C190" s="71"/>
      <c r="D190" s="71"/>
      <c r="E190" s="71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x14ac:dyDescent="0.25" r="191" customHeight="1" ht="16.5">
      <c r="A191" s="30"/>
      <c r="B191" s="30"/>
      <c r="C191" s="71"/>
      <c r="D191" s="71"/>
      <c r="E191" s="71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x14ac:dyDescent="0.25" r="192" customHeight="1" ht="16.5">
      <c r="A192" s="30"/>
      <c r="B192" s="30"/>
      <c r="C192" s="71"/>
      <c r="D192" s="71"/>
      <c r="E192" s="71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x14ac:dyDescent="0.25" r="193" customHeight="1" ht="16.5">
      <c r="A193" s="30"/>
      <c r="B193" s="30"/>
      <c r="C193" s="71"/>
      <c r="D193" s="71"/>
      <c r="E193" s="71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x14ac:dyDescent="0.25" r="194" customHeight="1" ht="16.5">
      <c r="A194" s="30"/>
      <c r="B194" s="30"/>
      <c r="C194" s="71"/>
      <c r="D194" s="71"/>
      <c r="E194" s="71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x14ac:dyDescent="0.25" r="195" customHeight="1" ht="16.5">
      <c r="A195" s="30"/>
      <c r="B195" s="30"/>
      <c r="C195" s="71"/>
      <c r="D195" s="71"/>
      <c r="E195" s="71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x14ac:dyDescent="0.25" r="196" customHeight="1" ht="16.5">
      <c r="A196" s="30"/>
      <c r="B196" s="30"/>
      <c r="C196" s="71"/>
      <c r="D196" s="71"/>
      <c r="E196" s="71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x14ac:dyDescent="0.25" r="197" customHeight="1" ht="16.5">
      <c r="A197" s="30"/>
      <c r="B197" s="30"/>
      <c r="C197" s="71"/>
      <c r="D197" s="71"/>
      <c r="E197" s="71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x14ac:dyDescent="0.25" r="198" customHeight="1" ht="16.5">
      <c r="A198" s="30"/>
      <c r="B198" s="30"/>
      <c r="C198" s="71"/>
      <c r="D198" s="71"/>
      <c r="E198" s="71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x14ac:dyDescent="0.25" r="199" customHeight="1" ht="16.5">
      <c r="A199" s="30"/>
      <c r="B199" s="30"/>
      <c r="C199" s="71"/>
      <c r="D199" s="71"/>
      <c r="E199" s="71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x14ac:dyDescent="0.25" r="200" customHeight="1" ht="16.5">
      <c r="A200" s="30"/>
      <c r="B200" s="30"/>
      <c r="C200" s="71"/>
      <c r="D200" s="71"/>
      <c r="E200" s="71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x14ac:dyDescent="0.25" r="201" customHeight="1" ht="16.5">
      <c r="A201" s="30"/>
      <c r="B201" s="30"/>
      <c r="C201" s="71"/>
      <c r="D201" s="71"/>
      <c r="E201" s="71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x14ac:dyDescent="0.25" r="202" customHeight="1" ht="16.5">
      <c r="A202" s="30"/>
      <c r="B202" s="30"/>
      <c r="C202" s="71"/>
      <c r="D202" s="71"/>
      <c r="E202" s="71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x14ac:dyDescent="0.25" r="203" customHeight="1" ht="16.5">
      <c r="A203" s="30"/>
      <c r="B203" s="30"/>
      <c r="C203" s="71"/>
      <c r="D203" s="71"/>
      <c r="E203" s="71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x14ac:dyDescent="0.25" r="204" customHeight="1" ht="16.5">
      <c r="A204" s="30"/>
      <c r="B204" s="30"/>
      <c r="C204" s="71"/>
      <c r="D204" s="71"/>
      <c r="E204" s="71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x14ac:dyDescent="0.25" r="205" customHeight="1" ht="16.5">
      <c r="A205" s="30"/>
      <c r="B205" s="30"/>
      <c r="C205" s="71"/>
      <c r="D205" s="71"/>
      <c r="E205" s="71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x14ac:dyDescent="0.25" r="206" customHeight="1" ht="16.5">
      <c r="A206" s="30"/>
      <c r="B206" s="30"/>
      <c r="C206" s="71"/>
      <c r="D206" s="71"/>
      <c r="E206" s="71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x14ac:dyDescent="0.25" r="207" customHeight="1" ht="16.5">
      <c r="A207" s="30"/>
      <c r="B207" s="30"/>
      <c r="C207" s="71"/>
      <c r="D207" s="71"/>
      <c r="E207" s="71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x14ac:dyDescent="0.25" r="208" customHeight="1" ht="16.5">
      <c r="A208" s="30"/>
      <c r="B208" s="30"/>
      <c r="C208" s="71"/>
      <c r="D208" s="71"/>
      <c r="E208" s="71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x14ac:dyDescent="0.25" r="209" customHeight="1" ht="16.5">
      <c r="A209" s="30"/>
      <c r="B209" s="30"/>
      <c r="C209" s="71"/>
      <c r="D209" s="71"/>
      <c r="E209" s="71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x14ac:dyDescent="0.25" r="210" customHeight="1" ht="16.5">
      <c r="A210" s="30"/>
      <c r="B210" s="30"/>
      <c r="C210" s="71"/>
      <c r="D210" s="71"/>
      <c r="E210" s="71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x14ac:dyDescent="0.25" r="211" customHeight="1" ht="16.5">
      <c r="A211" s="30"/>
      <c r="B211" s="30"/>
      <c r="C211" s="71"/>
      <c r="D211" s="71"/>
      <c r="E211" s="71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x14ac:dyDescent="0.25" r="212" customHeight="1" ht="16.5">
      <c r="A212" s="30"/>
      <c r="B212" s="30"/>
      <c r="C212" s="71"/>
      <c r="D212" s="71"/>
      <c r="E212" s="71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x14ac:dyDescent="0.25" r="213" customHeight="1" ht="16.5">
      <c r="A213" s="30"/>
      <c r="B213" s="30"/>
      <c r="C213" s="71"/>
      <c r="D213" s="71"/>
      <c r="E213" s="71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x14ac:dyDescent="0.25" r="214" customHeight="1" ht="16.5">
      <c r="A214" s="30"/>
      <c r="B214" s="30"/>
      <c r="C214" s="71"/>
      <c r="D214" s="71"/>
      <c r="E214" s="71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x14ac:dyDescent="0.25" r="215" customHeight="1" ht="16.5">
      <c r="A215" s="30"/>
      <c r="B215" s="30"/>
      <c r="C215" s="71"/>
      <c r="D215" s="71"/>
      <c r="E215" s="71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x14ac:dyDescent="0.25" r="216" customHeight="1" ht="16.5">
      <c r="A216" s="30"/>
      <c r="B216" s="30"/>
      <c r="C216" s="71"/>
      <c r="D216" s="71"/>
      <c r="E216" s="71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x14ac:dyDescent="0.25" r="217" customHeight="1" ht="16.5">
      <c r="A217" s="30"/>
      <c r="B217" s="30"/>
      <c r="C217" s="71"/>
      <c r="D217" s="71"/>
      <c r="E217" s="71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x14ac:dyDescent="0.25" r="218" customHeight="1" ht="16.5">
      <c r="A218" s="30"/>
      <c r="B218" s="30"/>
      <c r="C218" s="71"/>
      <c r="D218" s="71"/>
      <c r="E218" s="71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x14ac:dyDescent="0.25" r="219" customHeight="1" ht="16.5">
      <c r="A219" s="30"/>
      <c r="B219" s="30"/>
      <c r="C219" s="71"/>
      <c r="D219" s="71"/>
      <c r="E219" s="71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x14ac:dyDescent="0.25" r="220" customHeight="1" ht="16.5">
      <c r="A220" s="30"/>
      <c r="B220" s="30"/>
      <c r="C220" s="71"/>
      <c r="D220" s="71"/>
      <c r="E220" s="71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x14ac:dyDescent="0.25" r="221" customHeight="1" ht="16.5">
      <c r="A221" s="30"/>
      <c r="B221" s="30"/>
      <c r="C221" s="71"/>
      <c r="D221" s="71"/>
      <c r="E221" s="71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x14ac:dyDescent="0.25" r="222" customHeight="1" ht="16.5">
      <c r="A222" s="30"/>
      <c r="B222" s="30"/>
      <c r="C222" s="71"/>
      <c r="D222" s="71"/>
      <c r="E222" s="71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x14ac:dyDescent="0.25" r="223" customHeight="1" ht="16.5">
      <c r="A223" s="30"/>
      <c r="B223" s="30"/>
      <c r="C223" s="71"/>
      <c r="D223" s="71"/>
      <c r="E223" s="71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x14ac:dyDescent="0.25" r="224" customHeight="1" ht="16.5">
      <c r="A224" s="30"/>
      <c r="B224" s="30"/>
      <c r="C224" s="71"/>
      <c r="D224" s="71"/>
      <c r="E224" s="71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x14ac:dyDescent="0.25" r="225" customHeight="1" ht="16.5">
      <c r="A225" s="30"/>
      <c r="B225" s="30"/>
      <c r="C225" s="71"/>
      <c r="D225" s="71"/>
      <c r="E225" s="71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x14ac:dyDescent="0.25" r="226" customHeight="1" ht="16.5">
      <c r="A226" s="30"/>
      <c r="B226" s="30"/>
      <c r="C226" s="71"/>
      <c r="D226" s="71"/>
      <c r="E226" s="71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x14ac:dyDescent="0.25" r="227" customHeight="1" ht="16.5">
      <c r="A227" s="30"/>
      <c r="B227" s="30"/>
      <c r="C227" s="71"/>
      <c r="D227" s="71"/>
      <c r="E227" s="71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x14ac:dyDescent="0.25" r="228" customHeight="1" ht="16.5">
      <c r="A228" s="30"/>
      <c r="B228" s="30"/>
      <c r="C228" s="71"/>
      <c r="D228" s="71"/>
      <c r="E228" s="71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x14ac:dyDescent="0.25" r="229" customHeight="1" ht="16.5">
      <c r="A229" s="30"/>
      <c r="B229" s="30"/>
      <c r="C229" s="71"/>
      <c r="D229" s="71"/>
      <c r="E229" s="71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x14ac:dyDescent="0.25" r="230" customHeight="1" ht="16.5">
      <c r="A230" s="30"/>
      <c r="B230" s="30"/>
      <c r="C230" s="71"/>
      <c r="D230" s="71"/>
      <c r="E230" s="71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x14ac:dyDescent="0.25" r="231" customHeight="1" ht="16.5">
      <c r="A231" s="30"/>
      <c r="B231" s="30"/>
      <c r="C231" s="71"/>
      <c r="D231" s="71"/>
      <c r="E231" s="71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x14ac:dyDescent="0.25" r="232" customHeight="1" ht="16.5">
      <c r="A232" s="30"/>
      <c r="B232" s="30"/>
      <c r="C232" s="71"/>
      <c r="D232" s="71"/>
      <c r="E232" s="71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x14ac:dyDescent="0.25" r="233" customHeight="1" ht="16.5">
      <c r="A233" s="30"/>
      <c r="B233" s="30"/>
      <c r="C233" s="71"/>
      <c r="D233" s="71"/>
      <c r="E233" s="71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x14ac:dyDescent="0.25" r="234" customHeight="1" ht="16.5">
      <c r="A234" s="30"/>
      <c r="B234" s="30"/>
      <c r="C234" s="71"/>
      <c r="D234" s="71"/>
      <c r="E234" s="71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x14ac:dyDescent="0.25" r="235" customHeight="1" ht="16.5">
      <c r="A235" s="30"/>
      <c r="B235" s="30"/>
      <c r="C235" s="71"/>
      <c r="D235" s="71"/>
      <c r="E235" s="71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x14ac:dyDescent="0.25" r="236" customHeight="1" ht="16.5">
      <c r="A236" s="30"/>
      <c r="B236" s="30"/>
      <c r="C236" s="71"/>
      <c r="D236" s="71"/>
      <c r="E236" s="71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x14ac:dyDescent="0.25" r="237" customHeight="1" ht="16.5">
      <c r="A237" s="30"/>
      <c r="B237" s="30"/>
      <c r="C237" s="71"/>
      <c r="D237" s="71"/>
      <c r="E237" s="71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x14ac:dyDescent="0.25" r="238" customHeight="1" ht="16.5">
      <c r="A238" s="30"/>
      <c r="B238" s="30"/>
      <c r="C238" s="71"/>
      <c r="D238" s="71"/>
      <c r="E238" s="71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x14ac:dyDescent="0.25" r="239" customHeight="1" ht="16.5">
      <c r="A239" s="30"/>
      <c r="B239" s="30"/>
      <c r="C239" s="71"/>
      <c r="D239" s="71"/>
      <c r="E239" s="71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x14ac:dyDescent="0.25" r="240" customHeight="1" ht="16.5">
      <c r="A240" s="30"/>
      <c r="B240" s="30"/>
      <c r="C240" s="71"/>
      <c r="D240" s="71"/>
      <c r="E240" s="71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x14ac:dyDescent="0.25" r="241" customHeight="1" ht="16.5">
      <c r="A241" s="30"/>
      <c r="B241" s="30"/>
      <c r="C241" s="71"/>
      <c r="D241" s="71"/>
      <c r="E241" s="71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x14ac:dyDescent="0.25" r="242" customHeight="1" ht="16.5">
      <c r="A242" s="30"/>
      <c r="B242" s="30"/>
      <c r="C242" s="71"/>
      <c r="D242" s="71"/>
      <c r="E242" s="71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x14ac:dyDescent="0.25" r="243" customHeight="1" ht="16.5">
      <c r="A243" s="30"/>
      <c r="B243" s="30"/>
      <c r="C243" s="71"/>
      <c r="D243" s="71"/>
      <c r="E243" s="71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x14ac:dyDescent="0.25" r="244" customHeight="1" ht="16.5">
      <c r="A244" s="30"/>
      <c r="B244" s="30"/>
      <c r="C244" s="71"/>
      <c r="D244" s="71"/>
      <c r="E244" s="71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x14ac:dyDescent="0.25" r="245" customHeight="1" ht="16.5">
      <c r="A245" s="30"/>
      <c r="B245" s="30"/>
      <c r="C245" s="71"/>
      <c r="D245" s="71"/>
      <c r="E245" s="71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x14ac:dyDescent="0.25" r="246" customHeight="1" ht="16.5">
      <c r="A246" s="30"/>
      <c r="B246" s="30"/>
      <c r="C246" s="71"/>
      <c r="D246" s="71"/>
      <c r="E246" s="71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x14ac:dyDescent="0.25" r="247" customHeight="1" ht="16.5">
      <c r="A247" s="30"/>
      <c r="B247" s="30"/>
      <c r="C247" s="71"/>
      <c r="D247" s="71"/>
      <c r="E247" s="71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x14ac:dyDescent="0.25" r="248" customHeight="1" ht="16.5">
      <c r="A248" s="30"/>
      <c r="B248" s="30"/>
      <c r="C248" s="71"/>
      <c r="D248" s="71"/>
      <c r="E248" s="71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x14ac:dyDescent="0.25" r="249" customHeight="1" ht="16.5">
      <c r="A249" s="30"/>
      <c r="B249" s="30"/>
      <c r="C249" s="71"/>
      <c r="D249" s="71"/>
      <c r="E249" s="71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x14ac:dyDescent="0.25" r="250" customHeight="1" ht="16.5">
      <c r="A250" s="30"/>
      <c r="B250" s="30"/>
      <c r="C250" s="71"/>
      <c r="D250" s="71"/>
      <c r="E250" s="71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x14ac:dyDescent="0.25" r="251" customHeight="1" ht="16.5">
      <c r="A251" s="30"/>
      <c r="B251" s="30"/>
      <c r="C251" s="71"/>
      <c r="D251" s="71"/>
      <c r="E251" s="71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x14ac:dyDescent="0.25" r="252" customHeight="1" ht="16.5">
      <c r="A252" s="30"/>
      <c r="B252" s="30"/>
      <c r="C252" s="71"/>
      <c r="D252" s="71"/>
      <c r="E252" s="71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x14ac:dyDescent="0.25" r="253" customHeight="1" ht="16.5">
      <c r="A253" s="30"/>
      <c r="B253" s="30"/>
      <c r="C253" s="71"/>
      <c r="D253" s="71"/>
      <c r="E253" s="71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x14ac:dyDescent="0.25" r="254" customHeight="1" ht="16.5">
      <c r="A254" s="30"/>
      <c r="B254" s="30"/>
      <c r="C254" s="71"/>
      <c r="D254" s="71"/>
      <c r="E254" s="71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x14ac:dyDescent="0.25" r="255" customHeight="1" ht="16.5">
      <c r="A255" s="30"/>
      <c r="B255" s="30"/>
      <c r="C255" s="71"/>
      <c r="D255" s="71"/>
      <c r="E255" s="71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x14ac:dyDescent="0.25" r="256" customHeight="1" ht="16.5">
      <c r="A256" s="30"/>
      <c r="B256" s="30"/>
      <c r="C256" s="71"/>
      <c r="D256" s="71"/>
      <c r="E256" s="71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x14ac:dyDescent="0.25" r="257" customHeight="1" ht="16.5">
      <c r="A257" s="30"/>
      <c r="B257" s="30"/>
      <c r="C257" s="71"/>
      <c r="D257" s="71"/>
      <c r="E257" s="71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x14ac:dyDescent="0.25" r="258" customHeight="1" ht="16.5">
      <c r="A258" s="30"/>
      <c r="B258" s="30"/>
      <c r="C258" s="71"/>
      <c r="D258" s="71"/>
      <c r="E258" s="71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x14ac:dyDescent="0.25" r="259" customHeight="1" ht="16.5">
      <c r="A259" s="30"/>
      <c r="B259" s="30"/>
      <c r="C259" s="71"/>
      <c r="D259" s="71"/>
      <c r="E259" s="71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x14ac:dyDescent="0.25" r="260" customHeight="1" ht="16.5">
      <c r="A260" s="30"/>
      <c r="B260" s="30"/>
      <c r="C260" s="71"/>
      <c r="D260" s="71"/>
      <c r="E260" s="71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x14ac:dyDescent="0.25" r="261" customHeight="1" ht="16.5">
      <c r="A261" s="30"/>
      <c r="B261" s="30"/>
      <c r="C261" s="71"/>
      <c r="D261" s="71"/>
      <c r="E261" s="71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x14ac:dyDescent="0.25" r="262" customHeight="1" ht="16.5">
      <c r="A262" s="30"/>
      <c r="B262" s="30"/>
      <c r="C262" s="71"/>
      <c r="D262" s="71"/>
      <c r="E262" s="71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x14ac:dyDescent="0.25" r="263" customHeight="1" ht="16.5">
      <c r="A263" s="30"/>
      <c r="B263" s="30"/>
      <c r="C263" s="71"/>
      <c r="D263" s="71"/>
      <c r="E263" s="71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x14ac:dyDescent="0.25" r="264" customHeight="1" ht="16.5">
      <c r="A264" s="30"/>
      <c r="B264" s="30"/>
      <c r="C264" s="71"/>
      <c r="D264" s="71"/>
      <c r="E264" s="71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x14ac:dyDescent="0.25" r="265" customHeight="1" ht="16.5">
      <c r="A265" s="30"/>
      <c r="B265" s="30"/>
      <c r="C265" s="71"/>
      <c r="D265" s="71"/>
      <c r="E265" s="71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x14ac:dyDescent="0.25" r="266" customHeight="1" ht="16.5">
      <c r="A266" s="30"/>
      <c r="B266" s="30"/>
      <c r="C266" s="71"/>
      <c r="D266" s="71"/>
      <c r="E266" s="71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x14ac:dyDescent="0.25" r="267" customHeight="1" ht="16.5">
      <c r="A267" s="30"/>
      <c r="B267" s="30"/>
      <c r="C267" s="71"/>
      <c r="D267" s="71"/>
      <c r="E267" s="71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x14ac:dyDescent="0.25" r="268" customHeight="1" ht="16.5">
      <c r="A268" s="30"/>
      <c r="B268" s="30"/>
      <c r="C268" s="71"/>
      <c r="D268" s="71"/>
      <c r="E268" s="71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x14ac:dyDescent="0.25" r="269" customHeight="1" ht="16.5">
      <c r="A269" s="30"/>
      <c r="B269" s="30"/>
      <c r="C269" s="71"/>
      <c r="D269" s="71"/>
      <c r="E269" s="71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x14ac:dyDescent="0.25" r="270" customHeight="1" ht="16.5">
      <c r="A270" s="30"/>
      <c r="B270" s="30"/>
      <c r="C270" s="71"/>
      <c r="D270" s="71"/>
      <c r="E270" s="71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x14ac:dyDescent="0.25" r="271" customHeight="1" ht="16.5">
      <c r="A271" s="30"/>
      <c r="B271" s="30"/>
      <c r="C271" s="71"/>
      <c r="D271" s="71"/>
      <c r="E271" s="71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x14ac:dyDescent="0.25" r="272" customHeight="1" ht="16.5">
      <c r="A272" s="30"/>
      <c r="B272" s="30"/>
      <c r="C272" s="71"/>
      <c r="D272" s="71"/>
      <c r="E272" s="71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x14ac:dyDescent="0.25" r="273" customHeight="1" ht="16.5">
      <c r="A273" s="30"/>
      <c r="B273" s="30"/>
      <c r="C273" s="71"/>
      <c r="D273" s="71"/>
      <c r="E273" s="71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x14ac:dyDescent="0.25" r="274" customHeight="1" ht="16.5">
      <c r="A274" s="30"/>
      <c r="B274" s="30"/>
      <c r="C274" s="71"/>
      <c r="D274" s="71"/>
      <c r="E274" s="71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x14ac:dyDescent="0.25" r="275" customHeight="1" ht="16.5">
      <c r="A275" s="30"/>
      <c r="B275" s="30"/>
      <c r="C275" s="71"/>
      <c r="D275" s="71"/>
      <c r="E275" s="71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x14ac:dyDescent="0.25" r="276" customHeight="1" ht="16.5">
      <c r="A276" s="30"/>
      <c r="B276" s="30"/>
      <c r="C276" s="71"/>
      <c r="D276" s="71"/>
      <c r="E276" s="71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x14ac:dyDescent="0.25" r="277" customHeight="1" ht="16.5">
      <c r="A277" s="30"/>
      <c r="B277" s="30"/>
      <c r="C277" s="71"/>
      <c r="D277" s="71"/>
      <c r="E277" s="71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x14ac:dyDescent="0.25" r="278" customHeight="1" ht="16.5">
      <c r="A278" s="30"/>
      <c r="B278" s="30"/>
      <c r="C278" s="71"/>
      <c r="D278" s="71"/>
      <c r="E278" s="71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x14ac:dyDescent="0.25" r="279" customHeight="1" ht="16.5">
      <c r="A279" s="30"/>
      <c r="B279" s="30"/>
      <c r="C279" s="71"/>
      <c r="D279" s="71"/>
      <c r="E279" s="71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x14ac:dyDescent="0.25" r="280" customHeight="1" ht="16.5">
      <c r="A280" s="30"/>
      <c r="B280" s="30"/>
      <c r="C280" s="71"/>
      <c r="D280" s="71"/>
      <c r="E280" s="71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x14ac:dyDescent="0.25" r="281" customHeight="1" ht="16.5">
      <c r="A281" s="30"/>
      <c r="B281" s="30"/>
      <c r="C281" s="71"/>
      <c r="D281" s="71"/>
      <c r="E281" s="71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x14ac:dyDescent="0.25" r="282" customHeight="1" ht="16.5">
      <c r="A282" s="30"/>
      <c r="B282" s="30"/>
      <c r="C282" s="71"/>
      <c r="D282" s="71"/>
      <c r="E282" s="71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x14ac:dyDescent="0.25" r="283" customHeight="1" ht="16.5">
      <c r="A283" s="30"/>
      <c r="B283" s="30"/>
      <c r="C283" s="71"/>
      <c r="D283" s="71"/>
      <c r="E283" s="71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x14ac:dyDescent="0.25" r="284" customHeight="1" ht="16.5">
      <c r="A284" s="30"/>
      <c r="B284" s="30"/>
      <c r="C284" s="71"/>
      <c r="D284" s="71"/>
      <c r="E284" s="71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x14ac:dyDescent="0.25" r="285" customHeight="1" ht="16.5">
      <c r="A285" s="30"/>
      <c r="B285" s="30"/>
      <c r="C285" s="71"/>
      <c r="D285" s="71"/>
      <c r="E285" s="71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x14ac:dyDescent="0.25" r="286" customHeight="1" ht="16.5">
      <c r="A286" s="30"/>
      <c r="B286" s="30"/>
      <c r="C286" s="71"/>
      <c r="D286" s="71"/>
      <c r="E286" s="71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x14ac:dyDescent="0.25" r="287" customHeight="1" ht="16.5">
      <c r="A287" s="30"/>
      <c r="B287" s="30"/>
      <c r="C287" s="71"/>
      <c r="D287" s="71"/>
      <c r="E287" s="71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x14ac:dyDescent="0.25" r="288" customHeight="1" ht="16.5">
      <c r="A288" s="30"/>
      <c r="B288" s="30"/>
      <c r="C288" s="71"/>
      <c r="D288" s="71"/>
      <c r="E288" s="71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x14ac:dyDescent="0.25" r="289" customHeight="1" ht="16.5">
      <c r="A289" s="30"/>
      <c r="B289" s="30"/>
      <c r="C289" s="71"/>
      <c r="D289" s="71"/>
      <c r="E289" s="71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x14ac:dyDescent="0.25" r="290" customHeight="1" ht="16.5">
      <c r="A290" s="30"/>
      <c r="B290" s="30"/>
      <c r="C290" s="71"/>
      <c r="D290" s="71"/>
      <c r="E290" s="71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x14ac:dyDescent="0.25" r="291" customHeight="1" ht="16.5">
      <c r="A291" s="30"/>
      <c r="B291" s="30"/>
      <c r="C291" s="71"/>
      <c r="D291" s="71"/>
      <c r="E291" s="71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x14ac:dyDescent="0.25" r="292" customHeight="1" ht="16.5">
      <c r="A292" s="30"/>
      <c r="B292" s="30"/>
      <c r="C292" s="71"/>
      <c r="D292" s="71"/>
      <c r="E292" s="71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x14ac:dyDescent="0.25" r="293" customHeight="1" ht="16.5">
      <c r="A293" s="30"/>
      <c r="B293" s="30"/>
      <c r="C293" s="71"/>
      <c r="D293" s="71"/>
      <c r="E293" s="71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x14ac:dyDescent="0.25" r="294" customHeight="1" ht="16.5">
      <c r="A294" s="30"/>
      <c r="B294" s="30"/>
      <c r="C294" s="71"/>
      <c r="D294" s="71"/>
      <c r="E294" s="71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x14ac:dyDescent="0.25" r="295" customHeight="1" ht="16.5">
      <c r="A295" s="30"/>
      <c r="B295" s="30"/>
      <c r="C295" s="71"/>
      <c r="D295" s="71"/>
      <c r="E295" s="71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x14ac:dyDescent="0.25" r="296" customHeight="1" ht="16.5">
      <c r="A296" s="30"/>
      <c r="B296" s="30"/>
      <c r="C296" s="71"/>
      <c r="D296" s="71"/>
      <c r="E296" s="71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x14ac:dyDescent="0.25" r="297" customHeight="1" ht="16.5">
      <c r="A297" s="30"/>
      <c r="B297" s="30"/>
      <c r="C297" s="71"/>
      <c r="D297" s="71"/>
      <c r="E297" s="71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x14ac:dyDescent="0.25" r="298" customHeight="1" ht="16.5">
      <c r="A298" s="30"/>
      <c r="B298" s="30"/>
      <c r="C298" s="71"/>
      <c r="D298" s="71"/>
      <c r="E298" s="71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x14ac:dyDescent="0.25" r="299" customHeight="1" ht="16.5">
      <c r="A299" s="30"/>
      <c r="B299" s="30"/>
      <c r="C299" s="71"/>
      <c r="D299" s="71"/>
      <c r="E299" s="71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x14ac:dyDescent="0.25" r="300" customHeight="1" ht="16.5">
      <c r="A300" s="30"/>
      <c r="B300" s="30"/>
      <c r="C300" s="71"/>
      <c r="D300" s="71"/>
      <c r="E300" s="71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x14ac:dyDescent="0.25" r="301" customHeight="1" ht="16.5">
      <c r="A301" s="30"/>
      <c r="B301" s="30"/>
      <c r="C301" s="71"/>
      <c r="D301" s="71"/>
      <c r="E301" s="71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x14ac:dyDescent="0.25" r="302" customHeight="1" ht="16.5">
      <c r="A302" s="30"/>
      <c r="B302" s="30"/>
      <c r="C302" s="71"/>
      <c r="D302" s="71"/>
      <c r="E302" s="71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x14ac:dyDescent="0.25" r="303" customHeight="1" ht="16.5">
      <c r="A303" s="30"/>
      <c r="B303" s="30"/>
      <c r="C303" s="71"/>
      <c r="D303" s="71"/>
      <c r="E303" s="71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x14ac:dyDescent="0.25" r="304" customHeight="1" ht="16.5">
      <c r="A304" s="30"/>
      <c r="B304" s="30"/>
      <c r="C304" s="71"/>
      <c r="D304" s="71"/>
      <c r="E304" s="71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x14ac:dyDescent="0.25" r="305" customHeight="1" ht="16.5">
      <c r="A305" s="30"/>
      <c r="B305" s="30"/>
      <c r="C305" s="71"/>
      <c r="D305" s="71"/>
      <c r="E305" s="71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x14ac:dyDescent="0.25" r="306" customHeight="1" ht="16.5">
      <c r="A306" s="30"/>
      <c r="B306" s="30"/>
      <c r="C306" s="71"/>
      <c r="D306" s="71"/>
      <c r="E306" s="71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x14ac:dyDescent="0.25" r="307" customHeight="1" ht="16.5">
      <c r="A307" s="30"/>
      <c r="B307" s="30"/>
      <c r="C307" s="71"/>
      <c r="D307" s="71"/>
      <c r="E307" s="71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x14ac:dyDescent="0.25" r="308" customHeight="1" ht="16.5">
      <c r="A308" s="30"/>
      <c r="B308" s="30"/>
      <c r="C308" s="71"/>
      <c r="D308" s="71"/>
      <c r="E308" s="71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x14ac:dyDescent="0.25" r="309" customHeight="1" ht="16.5">
      <c r="A309" s="30"/>
      <c r="B309" s="30"/>
      <c r="C309" s="71"/>
      <c r="D309" s="71"/>
      <c r="E309" s="71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x14ac:dyDescent="0.25" r="310" customHeight="1" ht="16.5">
      <c r="A310" s="30"/>
      <c r="B310" s="30"/>
      <c r="C310" s="71"/>
      <c r="D310" s="71"/>
      <c r="E310" s="71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x14ac:dyDescent="0.25" r="311" customHeight="1" ht="16.5">
      <c r="A311" s="30"/>
      <c r="B311" s="30"/>
      <c r="C311" s="71"/>
      <c r="D311" s="71"/>
      <c r="E311" s="71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x14ac:dyDescent="0.25" r="312" customHeight="1" ht="16.5">
      <c r="A312" s="30"/>
      <c r="B312" s="30"/>
      <c r="C312" s="71"/>
      <c r="D312" s="71"/>
      <c r="E312" s="71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x14ac:dyDescent="0.25" r="313" customHeight="1" ht="16.5">
      <c r="A313" s="30"/>
      <c r="B313" s="30"/>
      <c r="C313" s="71"/>
      <c r="D313" s="71"/>
      <c r="E313" s="71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x14ac:dyDescent="0.25" r="314" customHeight="1" ht="16.5">
      <c r="A314" s="30"/>
      <c r="B314" s="30"/>
      <c r="C314" s="71"/>
      <c r="D314" s="71"/>
      <c r="E314" s="71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x14ac:dyDescent="0.25" r="315" customHeight="1" ht="16.5">
      <c r="A315" s="30"/>
      <c r="B315" s="30"/>
      <c r="C315" s="71"/>
      <c r="D315" s="71"/>
      <c r="E315" s="71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x14ac:dyDescent="0.25" r="316" customHeight="1" ht="16.5">
      <c r="A316" s="30"/>
      <c r="B316" s="30"/>
      <c r="C316" s="71"/>
      <c r="D316" s="71"/>
      <c r="E316" s="71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x14ac:dyDescent="0.25" r="317" customHeight="1" ht="16.5">
      <c r="A317" s="30"/>
      <c r="B317" s="30"/>
      <c r="C317" s="71"/>
      <c r="D317" s="71"/>
      <c r="E317" s="71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x14ac:dyDescent="0.25" r="318" customHeight="1" ht="16.5">
      <c r="A318" s="30"/>
      <c r="B318" s="30"/>
      <c r="C318" s="71"/>
      <c r="D318" s="71"/>
      <c r="E318" s="71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x14ac:dyDescent="0.25" r="319" customHeight="1" ht="16.5">
      <c r="A319" s="30"/>
      <c r="B319" s="30"/>
      <c r="C319" s="71"/>
      <c r="D319" s="71"/>
      <c r="E319" s="71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x14ac:dyDescent="0.25" r="320" customHeight="1" ht="16.5">
      <c r="A320" s="30"/>
      <c r="B320" s="30"/>
      <c r="C320" s="71"/>
      <c r="D320" s="71"/>
      <c r="E320" s="71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x14ac:dyDescent="0.25" r="321" customHeight="1" ht="16.5">
      <c r="A321" s="30"/>
      <c r="B321" s="30"/>
      <c r="C321" s="71"/>
      <c r="D321" s="71"/>
      <c r="E321" s="71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x14ac:dyDescent="0.25" r="322" customHeight="1" ht="16.5">
      <c r="A322" s="30"/>
      <c r="B322" s="30"/>
      <c r="C322" s="71"/>
      <c r="D322" s="71"/>
      <c r="E322" s="71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x14ac:dyDescent="0.25" r="323" customHeight="1" ht="16.5">
      <c r="A323" s="30"/>
      <c r="B323" s="30"/>
      <c r="C323" s="71"/>
      <c r="D323" s="71"/>
      <c r="E323" s="71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x14ac:dyDescent="0.25" r="324" customHeight="1" ht="16.5">
      <c r="A324" s="30"/>
      <c r="B324" s="30"/>
      <c r="C324" s="71"/>
      <c r="D324" s="71"/>
      <c r="E324" s="71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x14ac:dyDescent="0.25" r="325" customHeight="1" ht="16.5">
      <c r="A325" s="30"/>
      <c r="B325" s="30"/>
      <c r="C325" s="71"/>
      <c r="D325" s="71"/>
      <c r="E325" s="71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x14ac:dyDescent="0.25" r="326" customHeight="1" ht="16.5">
      <c r="A326" s="30"/>
      <c r="B326" s="30"/>
      <c r="C326" s="71"/>
      <c r="D326" s="71"/>
      <c r="E326" s="71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x14ac:dyDescent="0.25" r="327" customHeight="1" ht="16.5">
      <c r="A327" s="30"/>
      <c r="B327" s="30"/>
      <c r="C327" s="71"/>
      <c r="D327" s="71"/>
      <c r="E327" s="71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x14ac:dyDescent="0.25" r="328" customHeight="1" ht="16.5">
      <c r="A328" s="30"/>
      <c r="B328" s="30"/>
      <c r="C328" s="71"/>
      <c r="D328" s="71"/>
      <c r="E328" s="71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x14ac:dyDescent="0.25" r="329" customHeight="1" ht="16.5">
      <c r="A329" s="30"/>
      <c r="B329" s="30"/>
      <c r="C329" s="71"/>
      <c r="D329" s="71"/>
      <c r="E329" s="71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x14ac:dyDescent="0.25" r="330" customHeight="1" ht="16.5">
      <c r="A330" s="30"/>
      <c r="B330" s="30"/>
      <c r="C330" s="71"/>
      <c r="D330" s="71"/>
      <c r="E330" s="71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x14ac:dyDescent="0.25" r="331" customHeight="1" ht="16.5">
      <c r="A331" s="30"/>
      <c r="B331" s="30"/>
      <c r="C331" s="71"/>
      <c r="D331" s="71"/>
      <c r="E331" s="71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x14ac:dyDescent="0.25" r="332" customHeight="1" ht="16.5">
      <c r="A332" s="30"/>
      <c r="B332" s="30"/>
      <c r="C332" s="71"/>
      <c r="D332" s="71"/>
      <c r="E332" s="71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x14ac:dyDescent="0.25" r="333" customHeight="1" ht="16.5">
      <c r="A333" s="30"/>
      <c r="B333" s="30"/>
      <c r="C333" s="71"/>
      <c r="D333" s="71"/>
      <c r="E333" s="71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x14ac:dyDescent="0.25" r="334" customHeight="1" ht="16.5">
      <c r="A334" s="30"/>
      <c r="B334" s="30"/>
      <c r="C334" s="71"/>
      <c r="D334" s="71"/>
      <c r="E334" s="71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x14ac:dyDescent="0.25" r="335" customHeight="1" ht="16.5">
      <c r="A335" s="30"/>
      <c r="B335" s="30"/>
      <c r="C335" s="71"/>
      <c r="D335" s="71"/>
      <c r="E335" s="71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x14ac:dyDescent="0.25" r="336" customHeight="1" ht="16.5">
      <c r="A336" s="30"/>
      <c r="B336" s="30"/>
      <c r="C336" s="71"/>
      <c r="D336" s="71"/>
      <c r="E336" s="71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x14ac:dyDescent="0.25" r="337" customHeight="1" ht="16.5">
      <c r="A337" s="30"/>
      <c r="B337" s="30"/>
      <c r="C337" s="71"/>
      <c r="D337" s="71"/>
      <c r="E337" s="71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x14ac:dyDescent="0.25" r="338" customHeight="1" ht="16.5">
      <c r="A338" s="30"/>
      <c r="B338" s="30"/>
      <c r="C338" s="71"/>
      <c r="D338" s="71"/>
      <c r="E338" s="71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x14ac:dyDescent="0.25" r="339" customHeight="1" ht="16.5">
      <c r="A339" s="30"/>
      <c r="B339" s="30"/>
      <c r="C339" s="71"/>
      <c r="D339" s="71"/>
      <c r="E339" s="71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x14ac:dyDescent="0.25" r="340" customHeight="1" ht="16.5">
      <c r="A340" s="30"/>
      <c r="B340" s="30"/>
      <c r="C340" s="71"/>
      <c r="D340" s="71"/>
      <c r="E340" s="71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x14ac:dyDescent="0.25" r="341" customHeight="1" ht="16.5">
      <c r="A341" s="30"/>
      <c r="B341" s="30"/>
      <c r="C341" s="71"/>
      <c r="D341" s="71"/>
      <c r="E341" s="71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x14ac:dyDescent="0.25" r="342" customHeight="1" ht="16.5">
      <c r="A342" s="30"/>
      <c r="B342" s="30"/>
      <c r="C342" s="71"/>
      <c r="D342" s="71"/>
      <c r="E342" s="71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x14ac:dyDescent="0.25" r="343" customHeight="1" ht="16.5">
      <c r="A343" s="30"/>
      <c r="B343" s="30"/>
      <c r="C343" s="71"/>
      <c r="D343" s="71"/>
      <c r="E343" s="71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x14ac:dyDescent="0.25" r="344" customHeight="1" ht="16.5">
      <c r="A344" s="30"/>
      <c r="B344" s="30"/>
      <c r="C344" s="71"/>
      <c r="D344" s="71"/>
      <c r="E344" s="71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x14ac:dyDescent="0.25" r="345" customHeight="1" ht="16.5">
      <c r="A345" s="30"/>
      <c r="B345" s="30"/>
      <c r="C345" s="71"/>
      <c r="D345" s="71"/>
      <c r="E345" s="71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x14ac:dyDescent="0.25" r="346" customHeight="1" ht="16.5">
      <c r="A346" s="30"/>
      <c r="B346" s="30"/>
      <c r="C346" s="71"/>
      <c r="D346" s="71"/>
      <c r="E346" s="71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x14ac:dyDescent="0.25" r="347" customHeight="1" ht="16.5">
      <c r="A347" s="30"/>
      <c r="B347" s="30"/>
      <c r="C347" s="71"/>
      <c r="D347" s="71"/>
      <c r="E347" s="71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x14ac:dyDescent="0.25" r="348" customHeight="1" ht="16.5">
      <c r="A348" s="30"/>
      <c r="B348" s="30"/>
      <c r="C348" s="71"/>
      <c r="D348" s="71"/>
      <c r="E348" s="71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x14ac:dyDescent="0.25" r="349" customHeight="1" ht="16.5">
      <c r="A349" s="30"/>
      <c r="B349" s="30"/>
      <c r="C349" s="71"/>
      <c r="D349" s="71"/>
      <c r="E349" s="71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x14ac:dyDescent="0.25" r="350" customHeight="1" ht="16.5">
      <c r="A350" s="30"/>
      <c r="B350" s="30"/>
      <c r="C350" s="71"/>
      <c r="D350" s="71"/>
      <c r="E350" s="71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x14ac:dyDescent="0.25" r="351" customHeight="1" ht="16.5">
      <c r="A351" s="30"/>
      <c r="B351" s="30"/>
      <c r="C351" s="71"/>
      <c r="D351" s="71"/>
      <c r="E351" s="71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x14ac:dyDescent="0.25" r="352" customHeight="1" ht="16.5">
      <c r="A352" s="30"/>
      <c r="B352" s="30"/>
      <c r="C352" s="71"/>
      <c r="D352" s="71"/>
      <c r="E352" s="71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x14ac:dyDescent="0.25" r="353" customHeight="1" ht="16.5">
      <c r="A353" s="30"/>
      <c r="B353" s="30"/>
      <c r="C353" s="71"/>
      <c r="D353" s="71"/>
      <c r="E353" s="71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x14ac:dyDescent="0.25" r="354" customHeight="1" ht="16.5">
      <c r="A354" s="30"/>
      <c r="B354" s="30"/>
      <c r="C354" s="71"/>
      <c r="D354" s="71"/>
      <c r="E354" s="71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x14ac:dyDescent="0.25" r="355" customHeight="1" ht="16.5">
      <c r="A355" s="30"/>
      <c r="B355" s="30"/>
      <c r="C355" s="71"/>
      <c r="D355" s="71"/>
      <c r="E355" s="71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x14ac:dyDescent="0.25" r="356" customHeight="1" ht="16.5">
      <c r="A356" s="30"/>
      <c r="B356" s="30"/>
      <c r="C356" s="71"/>
      <c r="D356" s="71"/>
      <c r="E356" s="71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x14ac:dyDescent="0.25" r="357" customHeight="1" ht="16.5">
      <c r="A357" s="30"/>
      <c r="B357" s="30"/>
      <c r="C357" s="71"/>
      <c r="D357" s="71"/>
      <c r="E357" s="71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x14ac:dyDescent="0.25" r="358" customHeight="1" ht="16.5">
      <c r="A358" s="30"/>
      <c r="B358" s="30"/>
      <c r="C358" s="71"/>
      <c r="D358" s="71"/>
      <c r="E358" s="71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x14ac:dyDescent="0.25" r="359" customHeight="1" ht="16.5">
      <c r="A359" s="30"/>
      <c r="B359" s="30"/>
      <c r="C359" s="71"/>
      <c r="D359" s="71"/>
      <c r="E359" s="71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x14ac:dyDescent="0.25" r="360" customHeight="1" ht="16.5">
      <c r="A360" s="30"/>
      <c r="B360" s="30"/>
      <c r="C360" s="71"/>
      <c r="D360" s="71"/>
      <c r="E360" s="71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x14ac:dyDescent="0.25" r="361" customHeight="1" ht="16.5">
      <c r="A361" s="30"/>
      <c r="B361" s="30"/>
      <c r="C361" s="71"/>
      <c r="D361" s="71"/>
      <c r="E361" s="71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x14ac:dyDescent="0.25" r="362" customHeight="1" ht="16.5">
      <c r="A362" s="30"/>
      <c r="B362" s="30"/>
      <c r="C362" s="71"/>
      <c r="D362" s="71"/>
      <c r="E362" s="71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x14ac:dyDescent="0.25" r="363" customHeight="1" ht="16.5">
      <c r="A363" s="30"/>
      <c r="B363" s="30"/>
      <c r="C363" s="71"/>
      <c r="D363" s="71"/>
      <c r="E363" s="71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x14ac:dyDescent="0.25" r="364" customHeight="1" ht="16.5">
      <c r="A364" s="30"/>
      <c r="B364" s="30"/>
      <c r="C364" s="71"/>
      <c r="D364" s="71"/>
      <c r="E364" s="71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x14ac:dyDescent="0.25" r="365" customHeight="1" ht="16.5">
      <c r="A365" s="30"/>
      <c r="B365" s="30"/>
      <c r="C365" s="71"/>
      <c r="D365" s="71"/>
      <c r="E365" s="71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x14ac:dyDescent="0.25" r="366" customHeight="1" ht="16.5">
      <c r="A366" s="30"/>
      <c r="B366" s="30"/>
      <c r="C366" s="71"/>
      <c r="D366" s="71"/>
      <c r="E366" s="71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x14ac:dyDescent="0.25" r="367" customHeight="1" ht="16.5">
      <c r="A367" s="30"/>
      <c r="B367" s="30"/>
      <c r="C367" s="71"/>
      <c r="D367" s="71"/>
      <c r="E367" s="71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x14ac:dyDescent="0.25" r="368" customHeight="1" ht="16.5">
      <c r="A368" s="30"/>
      <c r="B368" s="30"/>
      <c r="C368" s="71"/>
      <c r="D368" s="71"/>
      <c r="E368" s="71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x14ac:dyDescent="0.25" r="369" customHeight="1" ht="16.5">
      <c r="A369" s="30"/>
      <c r="B369" s="30"/>
      <c r="C369" s="71"/>
      <c r="D369" s="71"/>
      <c r="E369" s="71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x14ac:dyDescent="0.25" r="370" customHeight="1" ht="16.5">
      <c r="A370" s="30"/>
      <c r="B370" s="30"/>
      <c r="C370" s="71"/>
      <c r="D370" s="71"/>
      <c r="E370" s="71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x14ac:dyDescent="0.25" r="371" customHeight="1" ht="16.5">
      <c r="A371" s="30"/>
      <c r="B371" s="30"/>
      <c r="C371" s="71"/>
      <c r="D371" s="71"/>
      <c r="E371" s="71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x14ac:dyDescent="0.25" r="372" customHeight="1" ht="16.5">
      <c r="A372" s="30"/>
      <c r="B372" s="30"/>
      <c r="C372" s="71"/>
      <c r="D372" s="71"/>
      <c r="E372" s="71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x14ac:dyDescent="0.25" r="373" customHeight="1" ht="16.5">
      <c r="A373" s="30"/>
      <c r="B373" s="30"/>
      <c r="C373" s="71"/>
      <c r="D373" s="71"/>
      <c r="E373" s="71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x14ac:dyDescent="0.25" r="374" customHeight="1" ht="16.5">
      <c r="A374" s="30"/>
      <c r="B374" s="30"/>
      <c r="C374" s="71"/>
      <c r="D374" s="71"/>
      <c r="E374" s="71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x14ac:dyDescent="0.25" r="375" customHeight="1" ht="16.5">
      <c r="A375" s="30"/>
      <c r="B375" s="30"/>
      <c r="C375" s="71"/>
      <c r="D375" s="71"/>
      <c r="E375" s="71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x14ac:dyDescent="0.25" r="376" customHeight="1" ht="16.5">
      <c r="A376" s="30"/>
      <c r="B376" s="30"/>
      <c r="C376" s="71"/>
      <c r="D376" s="71"/>
      <c r="E376" s="71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x14ac:dyDescent="0.25" r="377" customHeight="1" ht="16.5">
      <c r="A377" s="30"/>
      <c r="B377" s="30"/>
      <c r="C377" s="71"/>
      <c r="D377" s="71"/>
      <c r="E377" s="71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x14ac:dyDescent="0.25" r="378" customHeight="1" ht="16.5">
      <c r="A378" s="30"/>
      <c r="B378" s="30"/>
      <c r="C378" s="71"/>
      <c r="D378" s="71"/>
      <c r="E378" s="71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x14ac:dyDescent="0.25" r="379" customHeight="1" ht="16.5">
      <c r="A379" s="30"/>
      <c r="B379" s="30"/>
      <c r="C379" s="71"/>
      <c r="D379" s="71"/>
      <c r="E379" s="71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x14ac:dyDescent="0.25" r="380" customHeight="1" ht="16.5">
      <c r="A380" s="30"/>
      <c r="B380" s="30"/>
      <c r="C380" s="71"/>
      <c r="D380" s="71"/>
      <c r="E380" s="71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x14ac:dyDescent="0.25" r="381" customHeight="1" ht="16.5">
      <c r="A381" s="30"/>
      <c r="B381" s="30"/>
      <c r="C381" s="71"/>
      <c r="D381" s="71"/>
      <c r="E381" s="71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x14ac:dyDescent="0.25" r="382" customHeight="1" ht="16.5">
      <c r="A382" s="30"/>
      <c r="B382" s="30"/>
      <c r="C382" s="71"/>
      <c r="D382" s="71"/>
      <c r="E382" s="71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x14ac:dyDescent="0.25" r="383" customHeight="1" ht="16.5">
      <c r="A383" s="30"/>
      <c r="B383" s="30"/>
      <c r="C383" s="71"/>
      <c r="D383" s="71"/>
      <c r="E383" s="71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x14ac:dyDescent="0.25" r="384" customHeight="1" ht="16.5">
      <c r="A384" s="30"/>
      <c r="B384" s="30"/>
      <c r="C384" s="71"/>
      <c r="D384" s="71"/>
      <c r="E384" s="71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x14ac:dyDescent="0.25" r="385" customHeight="1" ht="16.5">
      <c r="A385" s="30"/>
      <c r="B385" s="30"/>
      <c r="C385" s="71"/>
      <c r="D385" s="71"/>
      <c r="E385" s="71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x14ac:dyDescent="0.25" r="386" customHeight="1" ht="16.5">
      <c r="A386" s="30"/>
      <c r="B386" s="30"/>
      <c r="C386" s="71"/>
      <c r="D386" s="71"/>
      <c r="E386" s="71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x14ac:dyDescent="0.25" r="387" customHeight="1" ht="16.5">
      <c r="A387" s="30"/>
      <c r="B387" s="30"/>
      <c r="C387" s="71"/>
      <c r="D387" s="71"/>
      <c r="E387" s="71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x14ac:dyDescent="0.25" r="388" customHeight="1" ht="16.5">
      <c r="A388" s="30"/>
      <c r="B388" s="30"/>
      <c r="C388" s="71"/>
      <c r="D388" s="71"/>
      <c r="E388" s="71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x14ac:dyDescent="0.25" r="389" customHeight="1" ht="16.5">
      <c r="A389" s="30"/>
      <c r="B389" s="30"/>
      <c r="C389" s="71"/>
      <c r="D389" s="71"/>
      <c r="E389" s="71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x14ac:dyDescent="0.25" r="390" customHeight="1" ht="16.5">
      <c r="A390" s="30"/>
      <c r="B390" s="30"/>
      <c r="C390" s="71"/>
      <c r="D390" s="71"/>
      <c r="E390" s="71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x14ac:dyDescent="0.25" r="391" customHeight="1" ht="16.5">
      <c r="A391" s="30"/>
      <c r="B391" s="30"/>
      <c r="C391" s="71"/>
      <c r="D391" s="71"/>
      <c r="E391" s="71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x14ac:dyDescent="0.25" r="392" customHeight="1" ht="16.5">
      <c r="A392" s="30"/>
      <c r="B392" s="30"/>
      <c r="C392" s="71"/>
      <c r="D392" s="71"/>
      <c r="E392" s="71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x14ac:dyDescent="0.25" r="393" customHeight="1" ht="16.5">
      <c r="A393" s="30"/>
      <c r="B393" s="30"/>
      <c r="C393" s="71"/>
      <c r="D393" s="71"/>
      <c r="E393" s="71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x14ac:dyDescent="0.25" r="394" customHeight="1" ht="16.5">
      <c r="A394" s="30"/>
      <c r="B394" s="30"/>
      <c r="C394" s="71"/>
      <c r="D394" s="71"/>
      <c r="E394" s="71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x14ac:dyDescent="0.25" r="395" customHeight="1" ht="16.5">
      <c r="A395" s="30"/>
      <c r="B395" s="30"/>
      <c r="C395" s="71"/>
      <c r="D395" s="71"/>
      <c r="E395" s="71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x14ac:dyDescent="0.25" r="396" customHeight="1" ht="16.5">
      <c r="A396" s="30"/>
      <c r="B396" s="30"/>
      <c r="C396" s="71"/>
      <c r="D396" s="71"/>
      <c r="E396" s="71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x14ac:dyDescent="0.25" r="397" customHeight="1" ht="16.5">
      <c r="A397" s="30"/>
      <c r="B397" s="30"/>
      <c r="C397" s="71"/>
      <c r="D397" s="71"/>
      <c r="E397" s="71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x14ac:dyDescent="0.25" r="398" customHeight="1" ht="16.5">
      <c r="A398" s="30"/>
      <c r="B398" s="30"/>
      <c r="C398" s="71"/>
      <c r="D398" s="71"/>
      <c r="E398" s="71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x14ac:dyDescent="0.25" r="399" customHeight="1" ht="16.5">
      <c r="A399" s="30"/>
      <c r="B399" s="30"/>
      <c r="C399" s="71"/>
      <c r="D399" s="71"/>
      <c r="E399" s="71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x14ac:dyDescent="0.25" r="400" customHeight="1" ht="16.5">
      <c r="A400" s="30"/>
      <c r="B400" s="30"/>
      <c r="C400" s="71"/>
      <c r="D400" s="71"/>
      <c r="E400" s="71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x14ac:dyDescent="0.25" r="401" customHeight="1" ht="16.5">
      <c r="A401" s="30"/>
      <c r="B401" s="30"/>
      <c r="C401" s="71"/>
      <c r="D401" s="71"/>
      <c r="E401" s="71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x14ac:dyDescent="0.25" r="402" customHeight="1" ht="16.5">
      <c r="A402" s="30"/>
      <c r="B402" s="30"/>
      <c r="C402" s="71"/>
      <c r="D402" s="71"/>
      <c r="E402" s="71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x14ac:dyDescent="0.25" r="403" customHeight="1" ht="16.5">
      <c r="A403" s="30"/>
      <c r="B403" s="30"/>
      <c r="C403" s="71"/>
      <c r="D403" s="71"/>
      <c r="E403" s="71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x14ac:dyDescent="0.25" r="404" customHeight="1" ht="16.5">
      <c r="A404" s="30"/>
      <c r="B404" s="30"/>
      <c r="C404" s="71"/>
      <c r="D404" s="71"/>
      <c r="E404" s="71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x14ac:dyDescent="0.25" r="405" customHeight="1" ht="16.5">
      <c r="A405" s="30"/>
      <c r="B405" s="30"/>
      <c r="C405" s="71"/>
      <c r="D405" s="71"/>
      <c r="E405" s="71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x14ac:dyDescent="0.25" r="406" customHeight="1" ht="16.5">
      <c r="A406" s="30"/>
      <c r="B406" s="30"/>
      <c r="C406" s="71"/>
      <c r="D406" s="71"/>
      <c r="E406" s="71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x14ac:dyDescent="0.25" r="407" customHeight="1" ht="16.5">
      <c r="A407" s="30"/>
      <c r="B407" s="30"/>
      <c r="C407" s="71"/>
      <c r="D407" s="71"/>
      <c r="E407" s="71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x14ac:dyDescent="0.25" r="408" customHeight="1" ht="16.5">
      <c r="A408" s="30"/>
      <c r="B408" s="30"/>
      <c r="C408" s="71"/>
      <c r="D408" s="71"/>
      <c r="E408" s="71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x14ac:dyDescent="0.25" r="409" customHeight="1" ht="16.5">
      <c r="A409" s="30"/>
      <c r="B409" s="30"/>
      <c r="C409" s="71"/>
      <c r="D409" s="71"/>
      <c r="E409" s="71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x14ac:dyDescent="0.25" r="410" customHeight="1" ht="16.5">
      <c r="A410" s="30"/>
      <c r="B410" s="30"/>
      <c r="C410" s="71"/>
      <c r="D410" s="71"/>
      <c r="E410" s="71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x14ac:dyDescent="0.25" r="411" customHeight="1" ht="16.5">
      <c r="A411" s="30"/>
      <c r="B411" s="30"/>
      <c r="C411" s="71"/>
      <c r="D411" s="71"/>
      <c r="E411" s="71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x14ac:dyDescent="0.25" r="412" customHeight="1" ht="16.5">
      <c r="A412" s="30"/>
      <c r="B412" s="30"/>
      <c r="C412" s="71"/>
      <c r="D412" s="71"/>
      <c r="E412" s="71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x14ac:dyDescent="0.25" r="413" customHeight="1" ht="16.5">
      <c r="A413" s="30"/>
      <c r="B413" s="30"/>
      <c r="C413" s="71"/>
      <c r="D413" s="71"/>
      <c r="E413" s="71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x14ac:dyDescent="0.25" r="414" customHeight="1" ht="16.5">
      <c r="A414" s="30"/>
      <c r="B414" s="30"/>
      <c r="C414" s="71"/>
      <c r="D414" s="71"/>
      <c r="E414" s="71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x14ac:dyDescent="0.25" r="415" customHeight="1" ht="16.5">
      <c r="A415" s="30"/>
      <c r="B415" s="30"/>
      <c r="C415" s="71"/>
      <c r="D415" s="71"/>
      <c r="E415" s="71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x14ac:dyDescent="0.25" r="416" customHeight="1" ht="16.5">
      <c r="A416" s="30"/>
      <c r="B416" s="30"/>
      <c r="C416" s="71"/>
      <c r="D416" s="71"/>
      <c r="E416" s="71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x14ac:dyDescent="0.25" r="417" customHeight="1" ht="16.5">
      <c r="A417" s="30"/>
      <c r="B417" s="30"/>
      <c r="C417" s="71"/>
      <c r="D417" s="71"/>
      <c r="E417" s="71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x14ac:dyDescent="0.25" r="418" customHeight="1" ht="16.5">
      <c r="A418" s="30"/>
      <c r="B418" s="30"/>
      <c r="C418" s="71"/>
      <c r="D418" s="71"/>
      <c r="E418" s="71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x14ac:dyDescent="0.25" r="419" customHeight="1" ht="16.5">
      <c r="A419" s="30"/>
      <c r="B419" s="30"/>
      <c r="C419" s="71"/>
      <c r="D419" s="71"/>
      <c r="E419" s="71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x14ac:dyDescent="0.25" r="420" customHeight="1" ht="16.5">
      <c r="A420" s="30"/>
      <c r="B420" s="30"/>
      <c r="C420" s="71"/>
      <c r="D420" s="71"/>
      <c r="E420" s="71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x14ac:dyDescent="0.25" r="421" customHeight="1" ht="16.5">
      <c r="A421" s="30"/>
      <c r="B421" s="30"/>
      <c r="C421" s="71"/>
      <c r="D421" s="71"/>
      <c r="E421" s="71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x14ac:dyDescent="0.25" r="422" customHeight="1" ht="16.5">
      <c r="A422" s="30"/>
      <c r="B422" s="30"/>
      <c r="C422" s="71"/>
      <c r="D422" s="71"/>
      <c r="E422" s="71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x14ac:dyDescent="0.25" r="423" customHeight="1" ht="16.5">
      <c r="A423" s="30"/>
      <c r="B423" s="30"/>
      <c r="C423" s="71"/>
      <c r="D423" s="71"/>
      <c r="E423" s="71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x14ac:dyDescent="0.25" r="424" customHeight="1" ht="16.5">
      <c r="A424" s="30"/>
      <c r="B424" s="30"/>
      <c r="C424" s="71"/>
      <c r="D424" s="71"/>
      <c r="E424" s="71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x14ac:dyDescent="0.25" r="425" customHeight="1" ht="16.5">
      <c r="A425" s="30"/>
      <c r="B425" s="30"/>
      <c r="C425" s="71"/>
      <c r="D425" s="71"/>
      <c r="E425" s="71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x14ac:dyDescent="0.25" r="426" customHeight="1" ht="16.5">
      <c r="A426" s="30"/>
      <c r="B426" s="30"/>
      <c r="C426" s="71"/>
      <c r="D426" s="71"/>
      <c r="E426" s="71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x14ac:dyDescent="0.25" r="427" customHeight="1" ht="16.5">
      <c r="A427" s="30"/>
      <c r="B427" s="30"/>
      <c r="C427" s="71"/>
      <c r="D427" s="71"/>
      <c r="E427" s="71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x14ac:dyDescent="0.25" r="428" customHeight="1" ht="16.5">
      <c r="A428" s="30"/>
      <c r="B428" s="30"/>
      <c r="C428" s="71"/>
      <c r="D428" s="71"/>
      <c r="E428" s="71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x14ac:dyDescent="0.25" r="429" customHeight="1" ht="16.5">
      <c r="A429" s="30"/>
      <c r="B429" s="30"/>
      <c r="C429" s="71"/>
      <c r="D429" s="71"/>
      <c r="E429" s="71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x14ac:dyDescent="0.25" r="430" customHeight="1" ht="16.5">
      <c r="A430" s="30"/>
      <c r="B430" s="30"/>
      <c r="C430" s="71"/>
      <c r="D430" s="71"/>
      <c r="E430" s="71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x14ac:dyDescent="0.25" r="431" customHeight="1" ht="16.5">
      <c r="A431" s="30"/>
      <c r="B431" s="30"/>
      <c r="C431" s="71"/>
      <c r="D431" s="71"/>
      <c r="E431" s="71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x14ac:dyDescent="0.25" r="432" customHeight="1" ht="16.5">
      <c r="A432" s="30"/>
      <c r="B432" s="30"/>
      <c r="C432" s="71"/>
      <c r="D432" s="71"/>
      <c r="E432" s="71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x14ac:dyDescent="0.25" r="433" customHeight="1" ht="16.5">
      <c r="A433" s="30"/>
      <c r="B433" s="30"/>
      <c r="C433" s="71"/>
      <c r="D433" s="71"/>
      <c r="E433" s="71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x14ac:dyDescent="0.25" r="434" customHeight="1" ht="16.5">
      <c r="A434" s="30"/>
      <c r="B434" s="30"/>
      <c r="C434" s="71"/>
      <c r="D434" s="71"/>
      <c r="E434" s="71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x14ac:dyDescent="0.25" r="435" customHeight="1" ht="16.5">
      <c r="A435" s="30"/>
      <c r="B435" s="30"/>
      <c r="C435" s="71"/>
      <c r="D435" s="71"/>
      <c r="E435" s="71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x14ac:dyDescent="0.25" r="436" customHeight="1" ht="16.5">
      <c r="A436" s="30"/>
      <c r="B436" s="30"/>
      <c r="C436" s="71"/>
      <c r="D436" s="71"/>
      <c r="E436" s="71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x14ac:dyDescent="0.25" r="437" customHeight="1" ht="16.5">
      <c r="A437" s="30"/>
      <c r="B437" s="30"/>
      <c r="C437" s="71"/>
      <c r="D437" s="71"/>
      <c r="E437" s="71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x14ac:dyDescent="0.25" r="438" customHeight="1" ht="16.5">
      <c r="A438" s="30"/>
      <c r="B438" s="30"/>
      <c r="C438" s="71"/>
      <c r="D438" s="71"/>
      <c r="E438" s="71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x14ac:dyDescent="0.25" r="439" customHeight="1" ht="16.5">
      <c r="A439" s="30"/>
      <c r="B439" s="30"/>
      <c r="C439" s="71"/>
      <c r="D439" s="71"/>
      <c r="E439" s="71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x14ac:dyDescent="0.25" r="440" customHeight="1" ht="16.5">
      <c r="A440" s="30"/>
      <c r="B440" s="30"/>
      <c r="C440" s="71"/>
      <c r="D440" s="71"/>
      <c r="E440" s="71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x14ac:dyDescent="0.25" r="441" customHeight="1" ht="16.5">
      <c r="A441" s="30"/>
      <c r="B441" s="30"/>
      <c r="C441" s="71"/>
      <c r="D441" s="71"/>
      <c r="E441" s="71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x14ac:dyDescent="0.25" r="442" customHeight="1" ht="16.5">
      <c r="A442" s="30"/>
      <c r="B442" s="30"/>
      <c r="C442" s="71"/>
      <c r="D442" s="71"/>
      <c r="E442" s="71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x14ac:dyDescent="0.25" r="443" customHeight="1" ht="16.5">
      <c r="A443" s="30"/>
      <c r="B443" s="30"/>
      <c r="C443" s="71"/>
      <c r="D443" s="71"/>
      <c r="E443" s="71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x14ac:dyDescent="0.25" r="444" customHeight="1" ht="16.5">
      <c r="A444" s="30"/>
      <c r="B444" s="30"/>
      <c r="C444" s="71"/>
      <c r="D444" s="71"/>
      <c r="E444" s="71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x14ac:dyDescent="0.25" r="445" customHeight="1" ht="16.5">
      <c r="A445" s="30"/>
      <c r="B445" s="30"/>
      <c r="C445" s="71"/>
      <c r="D445" s="71"/>
      <c r="E445" s="71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x14ac:dyDescent="0.25" r="446" customHeight="1" ht="16.5">
      <c r="A446" s="30"/>
      <c r="B446" s="30"/>
      <c r="C446" s="71"/>
      <c r="D446" s="71"/>
      <c r="E446" s="71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x14ac:dyDescent="0.25" r="447" customHeight="1" ht="16.5">
      <c r="A447" s="30"/>
      <c r="B447" s="30"/>
      <c r="C447" s="71"/>
      <c r="D447" s="71"/>
      <c r="E447" s="71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x14ac:dyDescent="0.25" r="448" customHeight="1" ht="16.5">
      <c r="A448" s="30"/>
      <c r="B448" s="30"/>
      <c r="C448" s="71"/>
      <c r="D448" s="71"/>
      <c r="E448" s="71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x14ac:dyDescent="0.25" r="449" customHeight="1" ht="16.5">
      <c r="A449" s="30"/>
      <c r="B449" s="30"/>
      <c r="C449" s="71"/>
      <c r="D449" s="71"/>
      <c r="E449" s="71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x14ac:dyDescent="0.25" r="450" customHeight="1" ht="16.5">
      <c r="A450" s="30"/>
      <c r="B450" s="30"/>
      <c r="C450" s="71"/>
      <c r="D450" s="71"/>
      <c r="E450" s="71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x14ac:dyDescent="0.25" r="451" customHeight="1" ht="16.5">
      <c r="A451" s="30"/>
      <c r="B451" s="30"/>
      <c r="C451" s="71"/>
      <c r="D451" s="71"/>
      <c r="E451" s="71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x14ac:dyDescent="0.25" r="452" customHeight="1" ht="16.5">
      <c r="A452" s="30"/>
      <c r="B452" s="30"/>
      <c r="C452" s="71"/>
      <c r="D452" s="71"/>
      <c r="E452" s="71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x14ac:dyDescent="0.25" r="453" customHeight="1" ht="16.5">
      <c r="A453" s="30"/>
      <c r="B453" s="30"/>
      <c r="C453" s="71"/>
      <c r="D453" s="71"/>
      <c r="E453" s="71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x14ac:dyDescent="0.25" r="454" customHeight="1" ht="16.5">
      <c r="A454" s="30"/>
      <c r="B454" s="30"/>
      <c r="C454" s="71"/>
      <c r="D454" s="71"/>
      <c r="E454" s="71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x14ac:dyDescent="0.25" r="455" customHeight="1" ht="16.5">
      <c r="A455" s="30"/>
      <c r="B455" s="30"/>
      <c r="C455" s="71"/>
      <c r="D455" s="71"/>
      <c r="E455" s="71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x14ac:dyDescent="0.25" r="456" customHeight="1" ht="16.5">
      <c r="A456" s="30"/>
      <c r="B456" s="30"/>
      <c r="C456" s="71"/>
      <c r="D456" s="71"/>
      <c r="E456" s="71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x14ac:dyDescent="0.25" r="457" customHeight="1" ht="16.5">
      <c r="A457" s="30"/>
      <c r="B457" s="30"/>
      <c r="C457" s="71"/>
      <c r="D457" s="71"/>
      <c r="E457" s="71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x14ac:dyDescent="0.25" r="458" customHeight="1" ht="16.5">
      <c r="A458" s="30"/>
      <c r="B458" s="30"/>
      <c r="C458" s="71"/>
      <c r="D458" s="71"/>
      <c r="E458" s="71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x14ac:dyDescent="0.25" r="459" customHeight="1" ht="16.5">
      <c r="A459" s="30"/>
      <c r="B459" s="30"/>
      <c r="C459" s="71"/>
      <c r="D459" s="71"/>
      <c r="E459" s="71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x14ac:dyDescent="0.25" r="460" customHeight="1" ht="16.5">
      <c r="A460" s="30"/>
      <c r="B460" s="30"/>
      <c r="C460" s="71"/>
      <c r="D460" s="71"/>
      <c r="E460" s="71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x14ac:dyDescent="0.25" r="461" customHeight="1" ht="16.5">
      <c r="A461" s="30"/>
      <c r="B461" s="30"/>
      <c r="C461" s="71"/>
      <c r="D461" s="71"/>
      <c r="E461" s="71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x14ac:dyDescent="0.25" r="462" customHeight="1" ht="16.5">
      <c r="A462" s="30"/>
      <c r="B462" s="30"/>
      <c r="C462" s="71"/>
      <c r="D462" s="71"/>
      <c r="E462" s="71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x14ac:dyDescent="0.25" r="463" customHeight="1" ht="16.5">
      <c r="A463" s="30"/>
      <c r="B463" s="30"/>
      <c r="C463" s="71"/>
      <c r="D463" s="71"/>
      <c r="E463" s="71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x14ac:dyDescent="0.25" r="464" customHeight="1" ht="16.5">
      <c r="A464" s="30"/>
      <c r="B464" s="30"/>
      <c r="C464" s="71"/>
      <c r="D464" s="71"/>
      <c r="E464" s="71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x14ac:dyDescent="0.25" r="465" customHeight="1" ht="16.5">
      <c r="A465" s="30"/>
      <c r="B465" s="30"/>
      <c r="C465" s="71"/>
      <c r="D465" s="71"/>
      <c r="E465" s="71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x14ac:dyDescent="0.25" r="466" customHeight="1" ht="16.5">
      <c r="A466" s="30"/>
      <c r="B466" s="30"/>
      <c r="C466" s="71"/>
      <c r="D466" s="71"/>
      <c r="E466" s="71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x14ac:dyDescent="0.25" r="467" customHeight="1" ht="16.5">
      <c r="A467" s="30"/>
      <c r="B467" s="30"/>
      <c r="C467" s="71"/>
      <c r="D467" s="71"/>
      <c r="E467" s="71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x14ac:dyDescent="0.25" r="468" customHeight="1" ht="16.5">
      <c r="A468" s="30"/>
      <c r="B468" s="30"/>
      <c r="C468" s="71"/>
      <c r="D468" s="71"/>
      <c r="E468" s="71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x14ac:dyDescent="0.25" r="469" customHeight="1" ht="16.5">
      <c r="A469" s="30"/>
      <c r="B469" s="30"/>
      <c r="C469" s="71"/>
      <c r="D469" s="71"/>
      <c r="E469" s="71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x14ac:dyDescent="0.25" r="470" customHeight="1" ht="16.5">
      <c r="A470" s="30"/>
      <c r="B470" s="30"/>
      <c r="C470" s="71"/>
      <c r="D470" s="71"/>
      <c r="E470" s="71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x14ac:dyDescent="0.25" r="471" customHeight="1" ht="16.5">
      <c r="A471" s="30"/>
      <c r="B471" s="30"/>
      <c r="C471" s="71"/>
      <c r="D471" s="71"/>
      <c r="E471" s="71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x14ac:dyDescent="0.25" r="472" customHeight="1" ht="16.5">
      <c r="A472" s="30"/>
      <c r="B472" s="30"/>
      <c r="C472" s="71"/>
      <c r="D472" s="71"/>
      <c r="E472" s="71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x14ac:dyDescent="0.25" r="473" customHeight="1" ht="16.5">
      <c r="A473" s="30"/>
      <c r="B473" s="30"/>
      <c r="C473" s="71"/>
      <c r="D473" s="71"/>
      <c r="E473" s="71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x14ac:dyDescent="0.25" r="474" customHeight="1" ht="16.5">
      <c r="A474" s="30"/>
      <c r="B474" s="30"/>
      <c r="C474" s="71"/>
      <c r="D474" s="71"/>
      <c r="E474" s="71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x14ac:dyDescent="0.25" r="475" customHeight="1" ht="16.5">
      <c r="A475" s="30"/>
      <c r="B475" s="30"/>
      <c r="C475" s="71"/>
      <c r="D475" s="71"/>
      <c r="E475" s="71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x14ac:dyDescent="0.25" r="476" customHeight="1" ht="16.5">
      <c r="A476" s="30"/>
      <c r="B476" s="30"/>
      <c r="C476" s="71"/>
      <c r="D476" s="71"/>
      <c r="E476" s="71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x14ac:dyDescent="0.25" r="477" customHeight="1" ht="16.5">
      <c r="A477" s="30"/>
      <c r="B477" s="30"/>
      <c r="C477" s="71"/>
      <c r="D477" s="71"/>
      <c r="E477" s="71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x14ac:dyDescent="0.25" r="478" customHeight="1" ht="16.5">
      <c r="A478" s="30"/>
      <c r="B478" s="30"/>
      <c r="C478" s="71"/>
      <c r="D478" s="71"/>
      <c r="E478" s="71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x14ac:dyDescent="0.25" r="479" customHeight="1" ht="16.5">
      <c r="A479" s="30"/>
      <c r="B479" s="30"/>
      <c r="C479" s="71"/>
      <c r="D479" s="71"/>
      <c r="E479" s="71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x14ac:dyDescent="0.25" r="480" customHeight="1" ht="16.5">
      <c r="A480" s="30"/>
      <c r="B480" s="30"/>
      <c r="C480" s="71"/>
      <c r="D480" s="71"/>
      <c r="E480" s="71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x14ac:dyDescent="0.25" r="481" customHeight="1" ht="16.5">
      <c r="A481" s="30"/>
      <c r="B481" s="30"/>
      <c r="C481" s="71"/>
      <c r="D481" s="71"/>
      <c r="E481" s="71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x14ac:dyDescent="0.25" r="482" customHeight="1" ht="16.5">
      <c r="A482" s="30"/>
      <c r="B482" s="30"/>
      <c r="C482" s="71"/>
      <c r="D482" s="71"/>
      <c r="E482" s="71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x14ac:dyDescent="0.25" r="483" customHeight="1" ht="16.5">
      <c r="A483" s="30"/>
      <c r="B483" s="30"/>
      <c r="C483" s="71"/>
      <c r="D483" s="71"/>
      <c r="E483" s="71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x14ac:dyDescent="0.25" r="484" customHeight="1" ht="16.5">
      <c r="A484" s="30"/>
      <c r="B484" s="30"/>
      <c r="C484" s="71"/>
      <c r="D484" s="71"/>
      <c r="E484" s="71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x14ac:dyDescent="0.25" r="485" customHeight="1" ht="16.5">
      <c r="A485" s="30"/>
      <c r="B485" s="30"/>
      <c r="C485" s="71"/>
      <c r="D485" s="71"/>
      <c r="E485" s="71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x14ac:dyDescent="0.25" r="486" customHeight="1" ht="16.5">
      <c r="A486" s="30"/>
      <c r="B486" s="30"/>
      <c r="C486" s="71"/>
      <c r="D486" s="71"/>
      <c r="E486" s="71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x14ac:dyDescent="0.25" r="487" customHeight="1" ht="16.5">
      <c r="A487" s="30"/>
      <c r="B487" s="30"/>
      <c r="C487" s="71"/>
      <c r="D487" s="71"/>
      <c r="E487" s="71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x14ac:dyDescent="0.25" r="488" customHeight="1" ht="16.5">
      <c r="A488" s="30"/>
      <c r="B488" s="30"/>
      <c r="C488" s="71"/>
      <c r="D488" s="71"/>
      <c r="E488" s="71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x14ac:dyDescent="0.25" r="489" customHeight="1" ht="16.5">
      <c r="A489" s="30"/>
      <c r="B489" s="30"/>
      <c r="C489" s="71"/>
      <c r="D489" s="71"/>
      <c r="E489" s="71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x14ac:dyDescent="0.25" r="490" customHeight="1" ht="16.5">
      <c r="A490" s="30"/>
      <c r="B490" s="30"/>
      <c r="C490" s="71"/>
      <c r="D490" s="71"/>
      <c r="E490" s="71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x14ac:dyDescent="0.25" r="491" customHeight="1" ht="16.5">
      <c r="A491" s="30"/>
      <c r="B491" s="30"/>
      <c r="C491" s="71"/>
      <c r="D491" s="71"/>
      <c r="E491" s="71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x14ac:dyDescent="0.25" r="492" customHeight="1" ht="16.5">
      <c r="A492" s="30"/>
      <c r="B492" s="30"/>
      <c r="C492" s="71"/>
      <c r="D492" s="71"/>
      <c r="E492" s="71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x14ac:dyDescent="0.25" r="493" customHeight="1" ht="16.5">
      <c r="A493" s="30"/>
      <c r="B493" s="30"/>
      <c r="C493" s="71"/>
      <c r="D493" s="71"/>
      <c r="E493" s="71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x14ac:dyDescent="0.25" r="494" customHeight="1" ht="16.5">
      <c r="A494" s="30"/>
      <c r="B494" s="30"/>
      <c r="C494" s="71"/>
      <c r="D494" s="71"/>
      <c r="E494" s="71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x14ac:dyDescent="0.25" r="495" customHeight="1" ht="16.5">
      <c r="A495" s="30"/>
      <c r="B495" s="30"/>
      <c r="C495" s="71"/>
      <c r="D495" s="71"/>
      <c r="E495" s="71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x14ac:dyDescent="0.25" r="496" customHeight="1" ht="16.5">
      <c r="A496" s="30"/>
      <c r="B496" s="30"/>
      <c r="C496" s="71"/>
      <c r="D496" s="71"/>
      <c r="E496" s="71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x14ac:dyDescent="0.25" r="497" customHeight="1" ht="16.5">
      <c r="A497" s="30"/>
      <c r="B497" s="30"/>
      <c r="C497" s="71"/>
      <c r="D497" s="71"/>
      <c r="E497" s="71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x14ac:dyDescent="0.25" r="498" customHeight="1" ht="16.5">
      <c r="A498" s="30"/>
      <c r="B498" s="30"/>
      <c r="C498" s="71"/>
      <c r="D498" s="71"/>
      <c r="E498" s="71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x14ac:dyDescent="0.25" r="499" customHeight="1" ht="16.5">
      <c r="A499" s="30"/>
      <c r="B499" s="30"/>
      <c r="C499" s="71"/>
      <c r="D499" s="71"/>
      <c r="E499" s="71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x14ac:dyDescent="0.25" r="500" customHeight="1" ht="16.5">
      <c r="A500" s="30"/>
      <c r="B500" s="30"/>
      <c r="C500" s="71"/>
      <c r="D500" s="71"/>
      <c r="E500" s="71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x14ac:dyDescent="0.25" r="501" customHeight="1" ht="16.5">
      <c r="A501" s="30"/>
      <c r="B501" s="30"/>
      <c r="C501" s="71"/>
      <c r="D501" s="71"/>
      <c r="E501" s="71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x14ac:dyDescent="0.25" r="502" customHeight="1" ht="16.5">
      <c r="A502" s="30"/>
      <c r="B502" s="30"/>
      <c r="C502" s="71"/>
      <c r="D502" s="71"/>
      <c r="E502" s="71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x14ac:dyDescent="0.25" r="503" customHeight="1" ht="16.5">
      <c r="A503" s="30"/>
      <c r="B503" s="30"/>
      <c r="C503" s="71"/>
      <c r="D503" s="71"/>
      <c r="E503" s="71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x14ac:dyDescent="0.25" r="504" customHeight="1" ht="16.5">
      <c r="A504" s="30"/>
      <c r="B504" s="30"/>
      <c r="C504" s="71"/>
      <c r="D504" s="71"/>
      <c r="E504" s="71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x14ac:dyDescent="0.25" r="505" customHeight="1" ht="16.5">
      <c r="A505" s="30"/>
      <c r="B505" s="30"/>
      <c r="C505" s="71"/>
      <c r="D505" s="71"/>
      <c r="E505" s="71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x14ac:dyDescent="0.25" r="506" customHeight="1" ht="16.5">
      <c r="A506" s="30"/>
      <c r="B506" s="30"/>
      <c r="C506" s="71"/>
      <c r="D506" s="71"/>
      <c r="E506" s="71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x14ac:dyDescent="0.25" r="507" customHeight="1" ht="16.5">
      <c r="A507" s="30"/>
      <c r="B507" s="30"/>
      <c r="C507" s="71"/>
      <c r="D507" s="71"/>
      <c r="E507" s="71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x14ac:dyDescent="0.25" r="508" customHeight="1" ht="16.5">
      <c r="A508" s="30"/>
      <c r="B508" s="30"/>
      <c r="C508" s="71"/>
      <c r="D508" s="71"/>
      <c r="E508" s="71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x14ac:dyDescent="0.25" r="509" customHeight="1" ht="16.5">
      <c r="A509" s="30"/>
      <c r="B509" s="30"/>
      <c r="C509" s="71"/>
      <c r="D509" s="71"/>
      <c r="E509" s="71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x14ac:dyDescent="0.25" r="510" customHeight="1" ht="16.5">
      <c r="A510" s="30"/>
      <c r="B510" s="30"/>
      <c r="C510" s="71"/>
      <c r="D510" s="71"/>
      <c r="E510" s="71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x14ac:dyDescent="0.25" r="511" customHeight="1" ht="16.5">
      <c r="A511" s="30"/>
      <c r="B511" s="30"/>
      <c r="C511" s="71"/>
      <c r="D511" s="71"/>
      <c r="E511" s="71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x14ac:dyDescent="0.25" r="512" customHeight="1" ht="16.5">
      <c r="A512" s="30"/>
      <c r="B512" s="30"/>
      <c r="C512" s="71"/>
      <c r="D512" s="71"/>
      <c r="E512" s="71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x14ac:dyDescent="0.25" r="513" customHeight="1" ht="16.5">
      <c r="A513" s="30"/>
      <c r="B513" s="30"/>
      <c r="C513" s="71"/>
      <c r="D513" s="71"/>
      <c r="E513" s="71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x14ac:dyDescent="0.25" r="514" customHeight="1" ht="16.5">
      <c r="A514" s="30"/>
      <c r="B514" s="30"/>
      <c r="C514" s="71"/>
      <c r="D514" s="71"/>
      <c r="E514" s="71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x14ac:dyDescent="0.25" r="515" customHeight="1" ht="16.5">
      <c r="A515" s="30"/>
      <c r="B515" s="30"/>
      <c r="C515" s="71"/>
      <c r="D515" s="71"/>
      <c r="E515" s="71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x14ac:dyDescent="0.25" r="516" customHeight="1" ht="16.5">
      <c r="A516" s="30"/>
      <c r="B516" s="30"/>
      <c r="C516" s="71"/>
      <c r="D516" s="71"/>
      <c r="E516" s="71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x14ac:dyDescent="0.25" r="517" customHeight="1" ht="16.5">
      <c r="A517" s="30"/>
      <c r="B517" s="30"/>
      <c r="C517" s="71"/>
      <c r="D517" s="71"/>
      <c r="E517" s="71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x14ac:dyDescent="0.25" r="518" customHeight="1" ht="16.5">
      <c r="A518" s="30"/>
      <c r="B518" s="30"/>
      <c r="C518" s="71"/>
      <c r="D518" s="71"/>
      <c r="E518" s="71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x14ac:dyDescent="0.25" r="519" customHeight="1" ht="16.5">
      <c r="A519" s="30"/>
      <c r="B519" s="30"/>
      <c r="C519" s="71"/>
      <c r="D519" s="71"/>
      <c r="E519" s="71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x14ac:dyDescent="0.25" r="520" customHeight="1" ht="16.5">
      <c r="A520" s="30"/>
      <c r="B520" s="30"/>
      <c r="C520" s="71"/>
      <c r="D520" s="71"/>
      <c r="E520" s="71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x14ac:dyDescent="0.25" r="521" customHeight="1" ht="16.5">
      <c r="A521" s="30"/>
      <c r="B521" s="30"/>
      <c r="C521" s="71"/>
      <c r="D521" s="71"/>
      <c r="E521" s="71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x14ac:dyDescent="0.25" r="522" customHeight="1" ht="16.5">
      <c r="A522" s="30"/>
      <c r="B522" s="30"/>
      <c r="C522" s="71"/>
      <c r="D522" s="71"/>
      <c r="E522" s="71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x14ac:dyDescent="0.25" r="523" customHeight="1" ht="16.5">
      <c r="A523" s="30"/>
      <c r="B523" s="30"/>
      <c r="C523" s="71"/>
      <c r="D523" s="71"/>
      <c r="E523" s="71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x14ac:dyDescent="0.25" r="524" customHeight="1" ht="16.5">
      <c r="A524" s="30"/>
      <c r="B524" s="30"/>
      <c r="C524" s="71"/>
      <c r="D524" s="71"/>
      <c r="E524" s="71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x14ac:dyDescent="0.25" r="525" customHeight="1" ht="16.5">
      <c r="A525" s="30"/>
      <c r="B525" s="30"/>
      <c r="C525" s="71"/>
      <c r="D525" s="71"/>
      <c r="E525" s="71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x14ac:dyDescent="0.25" r="526" customHeight="1" ht="16.5">
      <c r="A526" s="30"/>
      <c r="B526" s="30"/>
      <c r="C526" s="71"/>
      <c r="D526" s="71"/>
      <c r="E526" s="71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x14ac:dyDescent="0.25" r="527" customHeight="1" ht="16.5">
      <c r="A527" s="30"/>
      <c r="B527" s="30"/>
      <c r="C527" s="71"/>
      <c r="D527" s="71"/>
      <c r="E527" s="71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x14ac:dyDescent="0.25" r="528" customHeight="1" ht="16.5">
      <c r="A528" s="30"/>
      <c r="B528" s="30"/>
      <c r="C528" s="71"/>
      <c r="D528" s="71"/>
      <c r="E528" s="71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x14ac:dyDescent="0.25" r="529" customHeight="1" ht="16.5">
      <c r="A529" s="30"/>
      <c r="B529" s="30"/>
      <c r="C529" s="71"/>
      <c r="D529" s="71"/>
      <c r="E529" s="71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x14ac:dyDescent="0.25" r="530" customHeight="1" ht="16.5">
      <c r="A530" s="30"/>
      <c r="B530" s="30"/>
      <c r="C530" s="71"/>
      <c r="D530" s="71"/>
      <c r="E530" s="71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x14ac:dyDescent="0.25" r="531" customHeight="1" ht="16.5">
      <c r="A531" s="30"/>
      <c r="B531" s="30"/>
      <c r="C531" s="71"/>
      <c r="D531" s="71"/>
      <c r="E531" s="71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x14ac:dyDescent="0.25" r="532" customHeight="1" ht="16.5">
      <c r="A532" s="30"/>
      <c r="B532" s="30"/>
      <c r="C532" s="71"/>
      <c r="D532" s="71"/>
      <c r="E532" s="71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x14ac:dyDescent="0.25" r="533" customHeight="1" ht="16.5">
      <c r="A533" s="30"/>
      <c r="B533" s="30"/>
      <c r="C533" s="71"/>
      <c r="D533" s="71"/>
      <c r="E533" s="71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x14ac:dyDescent="0.25" r="534" customHeight="1" ht="16.5">
      <c r="A534" s="30"/>
      <c r="B534" s="30"/>
      <c r="C534" s="71"/>
      <c r="D534" s="71"/>
      <c r="E534" s="71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x14ac:dyDescent="0.25" r="535" customHeight="1" ht="16.5">
      <c r="A535" s="30"/>
      <c r="B535" s="30"/>
      <c r="C535" s="71"/>
      <c r="D535" s="71"/>
      <c r="E535" s="71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x14ac:dyDescent="0.25" r="536" customHeight="1" ht="16.5">
      <c r="A536" s="30"/>
      <c r="B536" s="30"/>
      <c r="C536" s="71"/>
      <c r="D536" s="71"/>
      <c r="E536" s="71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x14ac:dyDescent="0.25" r="537" customHeight="1" ht="16.5">
      <c r="A537" s="30"/>
      <c r="B537" s="30"/>
      <c r="C537" s="71"/>
      <c r="D537" s="71"/>
      <c r="E537" s="71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x14ac:dyDescent="0.25" r="538" customHeight="1" ht="16.5">
      <c r="A538" s="30"/>
      <c r="B538" s="30"/>
      <c r="C538" s="71"/>
      <c r="D538" s="71"/>
      <c r="E538" s="71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x14ac:dyDescent="0.25" r="539" customHeight="1" ht="16.5">
      <c r="A539" s="30"/>
      <c r="B539" s="30"/>
      <c r="C539" s="71"/>
      <c r="D539" s="71"/>
      <c r="E539" s="71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x14ac:dyDescent="0.25" r="540" customHeight="1" ht="16.5">
      <c r="A540" s="30"/>
      <c r="B540" s="30"/>
      <c r="C540" s="71"/>
      <c r="D540" s="71"/>
      <c r="E540" s="71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x14ac:dyDescent="0.25" r="541" customHeight="1" ht="16.5">
      <c r="A541" s="30"/>
      <c r="B541" s="30"/>
      <c r="C541" s="71"/>
      <c r="D541" s="71"/>
      <c r="E541" s="71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x14ac:dyDescent="0.25" r="542" customHeight="1" ht="16.5">
      <c r="A542" s="30"/>
      <c r="B542" s="30"/>
      <c r="C542" s="71"/>
      <c r="D542" s="71"/>
      <c r="E542" s="71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x14ac:dyDescent="0.25" r="543" customHeight="1" ht="16.5">
      <c r="A543" s="30"/>
      <c r="B543" s="30"/>
      <c r="C543" s="71"/>
      <c r="D543" s="71"/>
      <c r="E543" s="71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x14ac:dyDescent="0.25" r="544" customHeight="1" ht="16.5">
      <c r="A544" s="30"/>
      <c r="B544" s="30"/>
      <c r="C544" s="71"/>
      <c r="D544" s="71"/>
      <c r="E544" s="71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x14ac:dyDescent="0.25" r="545" customHeight="1" ht="16.5">
      <c r="A545" s="30"/>
      <c r="B545" s="30"/>
      <c r="C545" s="71"/>
      <c r="D545" s="71"/>
      <c r="E545" s="71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x14ac:dyDescent="0.25" r="546" customHeight="1" ht="16.5">
      <c r="A546" s="30"/>
      <c r="B546" s="30"/>
      <c r="C546" s="71"/>
      <c r="D546" s="71"/>
      <c r="E546" s="71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x14ac:dyDescent="0.25" r="547" customHeight="1" ht="16.5">
      <c r="A547" s="30"/>
      <c r="B547" s="30"/>
      <c r="C547" s="71"/>
      <c r="D547" s="71"/>
      <c r="E547" s="71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x14ac:dyDescent="0.25" r="548" customHeight="1" ht="16.5">
      <c r="A548" s="30"/>
      <c r="B548" s="30"/>
      <c r="C548" s="71"/>
      <c r="D548" s="71"/>
      <c r="E548" s="71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x14ac:dyDescent="0.25" r="549" customHeight="1" ht="16.5">
      <c r="A549" s="30"/>
      <c r="B549" s="30"/>
      <c r="C549" s="71"/>
      <c r="D549" s="71"/>
      <c r="E549" s="71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x14ac:dyDescent="0.25" r="550" customHeight="1" ht="16.5">
      <c r="A550" s="30"/>
      <c r="B550" s="30"/>
      <c r="C550" s="71"/>
      <c r="D550" s="71"/>
      <c r="E550" s="71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x14ac:dyDescent="0.25" r="551" customHeight="1" ht="16.5">
      <c r="A551" s="30"/>
      <c r="B551" s="30"/>
      <c r="C551" s="71"/>
      <c r="D551" s="71"/>
      <c r="E551" s="71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x14ac:dyDescent="0.25" r="552" customHeight="1" ht="16.5">
      <c r="A552" s="30"/>
      <c r="B552" s="30"/>
      <c r="C552" s="71"/>
      <c r="D552" s="71"/>
      <c r="E552" s="71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x14ac:dyDescent="0.25" r="553" customHeight="1" ht="16.5">
      <c r="A553" s="30"/>
      <c r="B553" s="30"/>
      <c r="C553" s="71"/>
      <c r="D553" s="71"/>
      <c r="E553" s="71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x14ac:dyDescent="0.25" r="554" customHeight="1" ht="16.5">
      <c r="A554" s="30"/>
      <c r="B554" s="30"/>
      <c r="C554" s="71"/>
      <c r="D554" s="71"/>
      <c r="E554" s="71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x14ac:dyDescent="0.25" r="555" customHeight="1" ht="16.5">
      <c r="A555" s="30"/>
      <c r="B555" s="30"/>
      <c r="C555" s="71"/>
      <c r="D555" s="71"/>
      <c r="E555" s="71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x14ac:dyDescent="0.25" r="556" customHeight="1" ht="16.5">
      <c r="A556" s="30"/>
      <c r="B556" s="30"/>
      <c r="C556" s="71"/>
      <c r="D556" s="71"/>
      <c r="E556" s="71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x14ac:dyDescent="0.25" r="557" customHeight="1" ht="16.5">
      <c r="A557" s="30"/>
      <c r="B557" s="30"/>
      <c r="C557" s="71"/>
      <c r="D557" s="71"/>
      <c r="E557" s="71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x14ac:dyDescent="0.25" r="558" customHeight="1" ht="16.5">
      <c r="A558" s="30"/>
      <c r="B558" s="30"/>
      <c r="C558" s="71"/>
      <c r="D558" s="71"/>
      <c r="E558" s="71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x14ac:dyDescent="0.25" r="559" customHeight="1" ht="16.5">
      <c r="A559" s="30"/>
      <c r="B559" s="30"/>
      <c r="C559" s="71"/>
      <c r="D559" s="71"/>
      <c r="E559" s="71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x14ac:dyDescent="0.25" r="560" customHeight="1" ht="16.5">
      <c r="A560" s="30"/>
      <c r="B560" s="30"/>
      <c r="C560" s="71"/>
      <c r="D560" s="71"/>
      <c r="E560" s="71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x14ac:dyDescent="0.25" r="561" customHeight="1" ht="16.5">
      <c r="A561" s="30"/>
      <c r="B561" s="30"/>
      <c r="C561" s="71"/>
      <c r="D561" s="71"/>
      <c r="E561" s="71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x14ac:dyDescent="0.25" r="562" customHeight="1" ht="16.5">
      <c r="A562" s="30"/>
      <c r="B562" s="30"/>
      <c r="C562" s="71"/>
      <c r="D562" s="71"/>
      <c r="E562" s="71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x14ac:dyDescent="0.25" r="563" customHeight="1" ht="16.5">
      <c r="A563" s="30"/>
      <c r="B563" s="30"/>
      <c r="C563" s="71"/>
      <c r="D563" s="71"/>
      <c r="E563" s="71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x14ac:dyDescent="0.25" r="564" customHeight="1" ht="16.5">
      <c r="A564" s="30"/>
      <c r="B564" s="30"/>
      <c r="C564" s="71"/>
      <c r="D564" s="71"/>
      <c r="E564" s="71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x14ac:dyDescent="0.25" r="565" customHeight="1" ht="16.5">
      <c r="A565" s="30"/>
      <c r="B565" s="30"/>
      <c r="C565" s="71"/>
      <c r="D565" s="71"/>
      <c r="E565" s="71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x14ac:dyDescent="0.25" r="566" customHeight="1" ht="16.5">
      <c r="A566" s="30"/>
      <c r="B566" s="30"/>
      <c r="C566" s="71"/>
      <c r="D566" s="71"/>
      <c r="E566" s="71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x14ac:dyDescent="0.25" r="567" customHeight="1" ht="16.5">
      <c r="A567" s="30"/>
      <c r="B567" s="30"/>
      <c r="C567" s="71"/>
      <c r="D567" s="71"/>
      <c r="E567" s="71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x14ac:dyDescent="0.25" r="568" customHeight="1" ht="16.5">
      <c r="A568" s="30"/>
      <c r="B568" s="30"/>
      <c r="C568" s="71"/>
      <c r="D568" s="71"/>
      <c r="E568" s="71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x14ac:dyDescent="0.25" r="569" customHeight="1" ht="16.5">
      <c r="A569" s="30"/>
      <c r="B569" s="30"/>
      <c r="C569" s="71"/>
      <c r="D569" s="71"/>
      <c r="E569" s="71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x14ac:dyDescent="0.25" r="570" customHeight="1" ht="16.5">
      <c r="A570" s="30"/>
      <c r="B570" s="30"/>
      <c r="C570" s="71"/>
      <c r="D570" s="71"/>
      <c r="E570" s="71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x14ac:dyDescent="0.25" r="571" customHeight="1" ht="16.5">
      <c r="A571" s="30"/>
      <c r="B571" s="30"/>
      <c r="C571" s="71"/>
      <c r="D571" s="71"/>
      <c r="E571" s="71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x14ac:dyDescent="0.25" r="572" customHeight="1" ht="16.5">
      <c r="A572" s="30"/>
      <c r="B572" s="30"/>
      <c r="C572" s="71"/>
      <c r="D572" s="71"/>
      <c r="E572" s="71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x14ac:dyDescent="0.25" r="573" customHeight="1" ht="16.5">
      <c r="A573" s="30"/>
      <c r="B573" s="30"/>
      <c r="C573" s="71"/>
      <c r="D573" s="71"/>
      <c r="E573" s="71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x14ac:dyDescent="0.25" r="574" customHeight="1" ht="16.5">
      <c r="A574" s="30"/>
      <c r="B574" s="30"/>
      <c r="C574" s="71"/>
      <c r="D574" s="71"/>
      <c r="E574" s="71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x14ac:dyDescent="0.25" r="575" customHeight="1" ht="16.5">
      <c r="A575" s="30"/>
      <c r="B575" s="30"/>
      <c r="C575" s="71"/>
      <c r="D575" s="71"/>
      <c r="E575" s="71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x14ac:dyDescent="0.25" r="576" customHeight="1" ht="16.5">
      <c r="A576" s="30"/>
      <c r="B576" s="30"/>
      <c r="C576" s="71"/>
      <c r="D576" s="71"/>
      <c r="E576" s="71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x14ac:dyDescent="0.25" r="577" customHeight="1" ht="16.5">
      <c r="A577" s="30"/>
      <c r="B577" s="30"/>
      <c r="C577" s="71"/>
      <c r="D577" s="71"/>
      <c r="E577" s="71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x14ac:dyDescent="0.25" r="578" customHeight="1" ht="16.5">
      <c r="A578" s="30"/>
      <c r="B578" s="30"/>
      <c r="C578" s="71"/>
      <c r="D578" s="71"/>
      <c r="E578" s="71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x14ac:dyDescent="0.25" r="579" customHeight="1" ht="16.5">
      <c r="A579" s="30"/>
      <c r="B579" s="30"/>
      <c r="C579" s="71"/>
      <c r="D579" s="71"/>
      <c r="E579" s="71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x14ac:dyDescent="0.25" r="580" customHeight="1" ht="16.5">
      <c r="A580" s="30"/>
      <c r="B580" s="30"/>
      <c r="C580" s="71"/>
      <c r="D580" s="71"/>
      <c r="E580" s="71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x14ac:dyDescent="0.25" r="581" customHeight="1" ht="16.5">
      <c r="A581" s="30"/>
      <c r="B581" s="30"/>
      <c r="C581" s="71"/>
      <c r="D581" s="71"/>
      <c r="E581" s="71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x14ac:dyDescent="0.25" r="582" customHeight="1" ht="16.5">
      <c r="A582" s="30"/>
      <c r="B582" s="30"/>
      <c r="C582" s="71"/>
      <c r="D582" s="71"/>
      <c r="E582" s="71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x14ac:dyDescent="0.25" r="583" customHeight="1" ht="16.5">
      <c r="A583" s="30"/>
      <c r="B583" s="30"/>
      <c r="C583" s="71"/>
      <c r="D583" s="71"/>
      <c r="E583" s="71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x14ac:dyDescent="0.25" r="584" customHeight="1" ht="16.5">
      <c r="A584" s="30"/>
      <c r="B584" s="30"/>
      <c r="C584" s="71"/>
      <c r="D584" s="71"/>
      <c r="E584" s="71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x14ac:dyDescent="0.25" r="585" customHeight="1" ht="16.5">
      <c r="A585" s="30"/>
      <c r="B585" s="30"/>
      <c r="C585" s="71"/>
      <c r="D585" s="71"/>
      <c r="E585" s="71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x14ac:dyDescent="0.25" r="586" customHeight="1" ht="16.5">
      <c r="A586" s="30"/>
      <c r="B586" s="30"/>
      <c r="C586" s="71"/>
      <c r="D586" s="71"/>
      <c r="E586" s="71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x14ac:dyDescent="0.25" r="587" customHeight="1" ht="16.5">
      <c r="A587" s="30"/>
      <c r="B587" s="30"/>
      <c r="C587" s="71"/>
      <c r="D587" s="71"/>
      <c r="E587" s="71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x14ac:dyDescent="0.25" r="588" customHeight="1" ht="16.5">
      <c r="A588" s="30"/>
      <c r="B588" s="30"/>
      <c r="C588" s="71"/>
      <c r="D588" s="71"/>
      <c r="E588" s="71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x14ac:dyDescent="0.25" r="589" customHeight="1" ht="16.5">
      <c r="A589" s="30"/>
      <c r="B589" s="30"/>
      <c r="C589" s="71"/>
      <c r="D589" s="71"/>
      <c r="E589" s="71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x14ac:dyDescent="0.25" r="590" customHeight="1" ht="16.5">
      <c r="A590" s="30"/>
      <c r="B590" s="30"/>
      <c r="C590" s="71"/>
      <c r="D590" s="71"/>
      <c r="E590" s="71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x14ac:dyDescent="0.25" r="591" customHeight="1" ht="16.5">
      <c r="A591" s="30"/>
      <c r="B591" s="30"/>
      <c r="C591" s="71"/>
      <c r="D591" s="71"/>
      <c r="E591" s="71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x14ac:dyDescent="0.25" r="592" customHeight="1" ht="16.5">
      <c r="A592" s="30"/>
      <c r="B592" s="30"/>
      <c r="C592" s="71"/>
      <c r="D592" s="71"/>
      <c r="E592" s="71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x14ac:dyDescent="0.25" r="593" customHeight="1" ht="16.5">
      <c r="A593" s="30"/>
      <c r="B593" s="30"/>
      <c r="C593" s="71"/>
      <c r="D593" s="71"/>
      <c r="E593" s="71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x14ac:dyDescent="0.25" r="594" customHeight="1" ht="16.5">
      <c r="A594" s="30"/>
      <c r="B594" s="30"/>
      <c r="C594" s="71"/>
      <c r="D594" s="71"/>
      <c r="E594" s="71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x14ac:dyDescent="0.25" r="595" customHeight="1" ht="16.5">
      <c r="A595" s="30"/>
      <c r="B595" s="30"/>
      <c r="C595" s="71"/>
      <c r="D595" s="71"/>
      <c r="E595" s="71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x14ac:dyDescent="0.25" r="596" customHeight="1" ht="16.5">
      <c r="A596" s="30"/>
      <c r="B596" s="30"/>
      <c r="C596" s="71"/>
      <c r="D596" s="71"/>
      <c r="E596" s="71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x14ac:dyDescent="0.25" r="597" customHeight="1" ht="16.5">
      <c r="A597" s="30"/>
      <c r="B597" s="30"/>
      <c r="C597" s="71"/>
      <c r="D597" s="71"/>
      <c r="E597" s="71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x14ac:dyDescent="0.25" r="598" customHeight="1" ht="16.5">
      <c r="A598" s="30"/>
      <c r="B598" s="30"/>
      <c r="C598" s="71"/>
      <c r="D598" s="71"/>
      <c r="E598" s="71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x14ac:dyDescent="0.25" r="599" customHeight="1" ht="16.5">
      <c r="A599" s="30"/>
      <c r="B599" s="30"/>
      <c r="C599" s="71"/>
      <c r="D599" s="71"/>
      <c r="E599" s="71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x14ac:dyDescent="0.25" r="600" customHeight="1" ht="16.5">
      <c r="A600" s="30"/>
      <c r="B600" s="30"/>
      <c r="C600" s="71"/>
      <c r="D600" s="71"/>
      <c r="E600" s="71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x14ac:dyDescent="0.25" r="601" customHeight="1" ht="16.5">
      <c r="A601" s="30"/>
      <c r="B601" s="30"/>
      <c r="C601" s="71"/>
      <c r="D601" s="71"/>
      <c r="E601" s="71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x14ac:dyDescent="0.25" r="602" customHeight="1" ht="16.5">
      <c r="A602" s="30"/>
      <c r="B602" s="30"/>
      <c r="C602" s="71"/>
      <c r="D602" s="71"/>
      <c r="E602" s="71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x14ac:dyDescent="0.25" r="603" customHeight="1" ht="16.5">
      <c r="A603" s="30"/>
      <c r="B603" s="30"/>
      <c r="C603" s="71"/>
      <c r="D603" s="71"/>
      <c r="E603" s="71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x14ac:dyDescent="0.25" r="604" customHeight="1" ht="16.5">
      <c r="A604" s="30"/>
      <c r="B604" s="30"/>
      <c r="C604" s="71"/>
      <c r="D604" s="71"/>
      <c r="E604" s="71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x14ac:dyDescent="0.25" r="605" customHeight="1" ht="16.5">
      <c r="A605" s="30"/>
      <c r="B605" s="30"/>
      <c r="C605" s="71"/>
      <c r="D605" s="71"/>
      <c r="E605" s="71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x14ac:dyDescent="0.25" r="606" customHeight="1" ht="16.5">
      <c r="A606" s="30"/>
      <c r="B606" s="30"/>
      <c r="C606" s="71"/>
      <c r="D606" s="71"/>
      <c r="E606" s="71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x14ac:dyDescent="0.25" r="607" customHeight="1" ht="16.5">
      <c r="A607" s="30"/>
      <c r="B607" s="30"/>
      <c r="C607" s="71"/>
      <c r="D607" s="71"/>
      <c r="E607" s="71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x14ac:dyDescent="0.25" r="608" customHeight="1" ht="16.5">
      <c r="A608" s="30"/>
      <c r="B608" s="30"/>
      <c r="C608" s="71"/>
      <c r="D608" s="71"/>
      <c r="E608" s="71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x14ac:dyDescent="0.25" r="609" customHeight="1" ht="16.5">
      <c r="A609" s="30"/>
      <c r="B609" s="30"/>
      <c r="C609" s="71"/>
      <c r="D609" s="71"/>
      <c r="E609" s="71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x14ac:dyDescent="0.25" r="610" customHeight="1" ht="16.5">
      <c r="A610" s="30"/>
      <c r="B610" s="30"/>
      <c r="C610" s="71"/>
      <c r="D610" s="71"/>
      <c r="E610" s="71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x14ac:dyDescent="0.25" r="611" customHeight="1" ht="16.5">
      <c r="A611" s="30"/>
      <c r="B611" s="30"/>
      <c r="C611" s="71"/>
      <c r="D611" s="71"/>
      <c r="E611" s="71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x14ac:dyDescent="0.25" r="612" customHeight="1" ht="16.5">
      <c r="A612" s="30"/>
      <c r="B612" s="30"/>
      <c r="C612" s="71"/>
      <c r="D612" s="71"/>
      <c r="E612" s="71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x14ac:dyDescent="0.25" r="613" customHeight="1" ht="16.5">
      <c r="A613" s="30"/>
      <c r="B613" s="30"/>
      <c r="C613" s="71"/>
      <c r="D613" s="71"/>
      <c r="E613" s="71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x14ac:dyDescent="0.25" r="614" customHeight="1" ht="16.5">
      <c r="A614" s="30"/>
      <c r="B614" s="30"/>
      <c r="C614" s="71"/>
      <c r="D614" s="71"/>
      <c r="E614" s="71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x14ac:dyDescent="0.25" r="615" customHeight="1" ht="16.5">
      <c r="A615" s="30"/>
      <c r="B615" s="30"/>
      <c r="C615" s="71"/>
      <c r="D615" s="71"/>
      <c r="E615" s="71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x14ac:dyDescent="0.25" r="616" customHeight="1" ht="16.5">
      <c r="A616" s="30"/>
      <c r="B616" s="30"/>
      <c r="C616" s="71"/>
      <c r="D616" s="71"/>
      <c r="E616" s="71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x14ac:dyDescent="0.25" r="617" customHeight="1" ht="16.5">
      <c r="A617" s="30"/>
      <c r="B617" s="30"/>
      <c r="C617" s="71"/>
      <c r="D617" s="71"/>
      <c r="E617" s="71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x14ac:dyDescent="0.25" r="618" customHeight="1" ht="16.5">
      <c r="A618" s="30"/>
      <c r="B618" s="30"/>
      <c r="C618" s="71"/>
      <c r="D618" s="71"/>
      <c r="E618" s="71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x14ac:dyDescent="0.25" r="619" customHeight="1" ht="16.5">
      <c r="A619" s="30"/>
      <c r="B619" s="30"/>
      <c r="C619" s="71"/>
      <c r="D619" s="71"/>
      <c r="E619" s="71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x14ac:dyDescent="0.25" r="620" customHeight="1" ht="16.5">
      <c r="A620" s="30"/>
      <c r="B620" s="30"/>
      <c r="C620" s="71"/>
      <c r="D620" s="71"/>
      <c r="E620" s="71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x14ac:dyDescent="0.25" r="621" customHeight="1" ht="16.5">
      <c r="A621" s="30"/>
      <c r="B621" s="30"/>
      <c r="C621" s="71"/>
      <c r="D621" s="71"/>
      <c r="E621" s="71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x14ac:dyDescent="0.25" r="622" customHeight="1" ht="16.5">
      <c r="A622" s="30"/>
      <c r="B622" s="30"/>
      <c r="C622" s="71"/>
      <c r="D622" s="71"/>
      <c r="E622" s="71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x14ac:dyDescent="0.25" r="623" customHeight="1" ht="16.5">
      <c r="A623" s="30"/>
      <c r="B623" s="30"/>
      <c r="C623" s="71"/>
      <c r="D623" s="71"/>
      <c r="E623" s="71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x14ac:dyDescent="0.25" r="624" customHeight="1" ht="16.5">
      <c r="A624" s="30"/>
      <c r="B624" s="30"/>
      <c r="C624" s="71"/>
      <c r="D624" s="71"/>
      <c r="E624" s="71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x14ac:dyDescent="0.25" r="625" customHeight="1" ht="16.5">
      <c r="A625" s="30"/>
      <c r="B625" s="30"/>
      <c r="C625" s="71"/>
      <c r="D625" s="71"/>
      <c r="E625" s="71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x14ac:dyDescent="0.25" r="626" customHeight="1" ht="16.5">
      <c r="A626" s="30"/>
      <c r="B626" s="30"/>
      <c r="C626" s="71"/>
      <c r="D626" s="71"/>
      <c r="E626" s="71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x14ac:dyDescent="0.25" r="627" customHeight="1" ht="16.5">
      <c r="A627" s="30"/>
      <c r="B627" s="30"/>
      <c r="C627" s="71"/>
      <c r="D627" s="71"/>
      <c r="E627" s="71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x14ac:dyDescent="0.25" r="628" customHeight="1" ht="16.5">
      <c r="A628" s="30"/>
      <c r="B628" s="30"/>
      <c r="C628" s="71"/>
      <c r="D628" s="71"/>
      <c r="E628" s="71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x14ac:dyDescent="0.25" r="629" customHeight="1" ht="16.5">
      <c r="A629" s="30"/>
      <c r="B629" s="30"/>
      <c r="C629" s="71"/>
      <c r="D629" s="71"/>
      <c r="E629" s="71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x14ac:dyDescent="0.25" r="630" customHeight="1" ht="16.5">
      <c r="A630" s="30"/>
      <c r="B630" s="30"/>
      <c r="C630" s="71"/>
      <c r="D630" s="71"/>
      <c r="E630" s="71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x14ac:dyDescent="0.25" r="631" customHeight="1" ht="16.5">
      <c r="A631" s="30"/>
      <c r="B631" s="30"/>
      <c r="C631" s="71"/>
      <c r="D631" s="71"/>
      <c r="E631" s="71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x14ac:dyDescent="0.25" r="632" customHeight="1" ht="16.5">
      <c r="A632" s="30"/>
      <c r="B632" s="30"/>
      <c r="C632" s="71"/>
      <c r="D632" s="71"/>
      <c r="E632" s="71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x14ac:dyDescent="0.25" r="633" customHeight="1" ht="16.5">
      <c r="A633" s="30"/>
      <c r="B633" s="30"/>
      <c r="C633" s="71"/>
      <c r="D633" s="71"/>
      <c r="E633" s="71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x14ac:dyDescent="0.25" r="634" customHeight="1" ht="16.5">
      <c r="A634" s="30"/>
      <c r="B634" s="30"/>
      <c r="C634" s="71"/>
      <c r="D634" s="71"/>
      <c r="E634" s="71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x14ac:dyDescent="0.25" r="635" customHeight="1" ht="16.5">
      <c r="A635" s="30"/>
      <c r="B635" s="30"/>
      <c r="C635" s="71"/>
      <c r="D635" s="71"/>
      <c r="E635" s="71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x14ac:dyDescent="0.25" r="636" customHeight="1" ht="16.5">
      <c r="A636" s="30"/>
      <c r="B636" s="30"/>
      <c r="C636" s="71"/>
      <c r="D636" s="71"/>
      <c r="E636" s="71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x14ac:dyDescent="0.25" r="637" customHeight="1" ht="16.5">
      <c r="A637" s="30"/>
      <c r="B637" s="30"/>
      <c r="C637" s="71"/>
      <c r="D637" s="71"/>
      <c r="E637" s="71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x14ac:dyDescent="0.25" r="638" customHeight="1" ht="16.5">
      <c r="A638" s="30"/>
      <c r="B638" s="30"/>
      <c r="C638" s="71"/>
      <c r="D638" s="71"/>
      <c r="E638" s="71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x14ac:dyDescent="0.25" r="639" customHeight="1" ht="16.5">
      <c r="A639" s="30"/>
      <c r="B639" s="30"/>
      <c r="C639" s="71"/>
      <c r="D639" s="71"/>
      <c r="E639" s="71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x14ac:dyDescent="0.25" r="640" customHeight="1" ht="16.5">
      <c r="A640" s="30"/>
      <c r="B640" s="30"/>
      <c r="C640" s="71"/>
      <c r="D640" s="71"/>
      <c r="E640" s="71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x14ac:dyDescent="0.25" r="641" customHeight="1" ht="16.5">
      <c r="A641" s="30"/>
      <c r="B641" s="30"/>
      <c r="C641" s="71"/>
      <c r="D641" s="71"/>
      <c r="E641" s="71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x14ac:dyDescent="0.25" r="642" customHeight="1" ht="16.5">
      <c r="A642" s="30"/>
      <c r="B642" s="30"/>
      <c r="C642" s="71"/>
      <c r="D642" s="71"/>
      <c r="E642" s="71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x14ac:dyDescent="0.25" r="643" customHeight="1" ht="16.5">
      <c r="A643" s="30"/>
      <c r="B643" s="30"/>
      <c r="C643" s="71"/>
      <c r="D643" s="71"/>
      <c r="E643" s="71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x14ac:dyDescent="0.25" r="644" customHeight="1" ht="16.5">
      <c r="A644" s="30"/>
      <c r="B644" s="30"/>
      <c r="C644" s="71"/>
      <c r="D644" s="71"/>
      <c r="E644" s="71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x14ac:dyDescent="0.25" r="645" customHeight="1" ht="16.5">
      <c r="A645" s="30"/>
      <c r="B645" s="30"/>
      <c r="C645" s="71"/>
      <c r="D645" s="71"/>
      <c r="E645" s="71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x14ac:dyDescent="0.25" r="646" customHeight="1" ht="16.5">
      <c r="A646" s="30"/>
      <c r="B646" s="30"/>
      <c r="C646" s="71"/>
      <c r="D646" s="71"/>
      <c r="E646" s="71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x14ac:dyDescent="0.25" r="647" customHeight="1" ht="16.5">
      <c r="A647" s="30"/>
      <c r="B647" s="30"/>
      <c r="C647" s="71"/>
      <c r="D647" s="71"/>
      <c r="E647" s="71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x14ac:dyDescent="0.25" r="648" customHeight="1" ht="16.5">
      <c r="A648" s="30"/>
      <c r="B648" s="30"/>
      <c r="C648" s="71"/>
      <c r="D648" s="71"/>
      <c r="E648" s="71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x14ac:dyDescent="0.25" r="649" customHeight="1" ht="16.5">
      <c r="A649" s="30"/>
      <c r="B649" s="30"/>
      <c r="C649" s="71"/>
      <c r="D649" s="71"/>
      <c r="E649" s="71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x14ac:dyDescent="0.25" r="650" customHeight="1" ht="16.5">
      <c r="A650" s="30"/>
      <c r="B650" s="30"/>
      <c r="C650" s="71"/>
      <c r="D650" s="71"/>
      <c r="E650" s="71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x14ac:dyDescent="0.25" r="651" customHeight="1" ht="16.5">
      <c r="A651" s="30"/>
      <c r="B651" s="30"/>
      <c r="C651" s="71"/>
      <c r="D651" s="71"/>
      <c r="E651" s="71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x14ac:dyDescent="0.25" r="652" customHeight="1" ht="16.5">
      <c r="A652" s="30"/>
      <c r="B652" s="30"/>
      <c r="C652" s="71"/>
      <c r="D652" s="71"/>
      <c r="E652" s="71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x14ac:dyDescent="0.25" r="653" customHeight="1" ht="16.5">
      <c r="A653" s="30"/>
      <c r="B653" s="30"/>
      <c r="C653" s="71"/>
      <c r="D653" s="71"/>
      <c r="E653" s="71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x14ac:dyDescent="0.25" r="654" customHeight="1" ht="16.5">
      <c r="A654" s="30"/>
      <c r="B654" s="30"/>
      <c r="C654" s="71"/>
      <c r="D654" s="71"/>
      <c r="E654" s="71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x14ac:dyDescent="0.25" r="655" customHeight="1" ht="16.5">
      <c r="A655" s="30"/>
      <c r="B655" s="30"/>
      <c r="C655" s="71"/>
      <c r="D655" s="71"/>
      <c r="E655" s="71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x14ac:dyDescent="0.25" r="656" customHeight="1" ht="16.5">
      <c r="A656" s="30"/>
      <c r="B656" s="30"/>
      <c r="C656" s="71"/>
      <c r="D656" s="71"/>
      <c r="E656" s="71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x14ac:dyDescent="0.25" r="657" customHeight="1" ht="16.5">
      <c r="A657" s="30"/>
      <c r="B657" s="30"/>
      <c r="C657" s="71"/>
      <c r="D657" s="71"/>
      <c r="E657" s="71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x14ac:dyDescent="0.25" r="658" customHeight="1" ht="16.5">
      <c r="A658" s="30"/>
      <c r="B658" s="30"/>
      <c r="C658" s="71"/>
      <c r="D658" s="71"/>
      <c r="E658" s="71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x14ac:dyDescent="0.25" r="659" customHeight="1" ht="16.5">
      <c r="A659" s="30"/>
      <c r="B659" s="30"/>
      <c r="C659" s="71"/>
      <c r="D659" s="71"/>
      <c r="E659" s="71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x14ac:dyDescent="0.25" r="660" customHeight="1" ht="16.5">
      <c r="A660" s="30"/>
      <c r="B660" s="30"/>
      <c r="C660" s="71"/>
      <c r="D660" s="71"/>
      <c r="E660" s="71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x14ac:dyDescent="0.25" r="661" customHeight="1" ht="16.5">
      <c r="A661" s="30"/>
      <c r="B661" s="30"/>
      <c r="C661" s="71"/>
      <c r="D661" s="71"/>
      <c r="E661" s="71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x14ac:dyDescent="0.25" r="662" customHeight="1" ht="16.5">
      <c r="A662" s="30"/>
      <c r="B662" s="30"/>
      <c r="C662" s="71"/>
      <c r="D662" s="71"/>
      <c r="E662" s="71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x14ac:dyDescent="0.25" r="663" customHeight="1" ht="16.5">
      <c r="A663" s="30"/>
      <c r="B663" s="30"/>
      <c r="C663" s="71"/>
      <c r="D663" s="71"/>
      <c r="E663" s="71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x14ac:dyDescent="0.25" r="664" customHeight="1" ht="16.5">
      <c r="A664" s="30"/>
      <c r="B664" s="30"/>
      <c r="C664" s="71"/>
      <c r="D664" s="71"/>
      <c r="E664" s="71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x14ac:dyDescent="0.25" r="665" customHeight="1" ht="16.5">
      <c r="A665" s="30"/>
      <c r="B665" s="30"/>
      <c r="C665" s="71"/>
      <c r="D665" s="71"/>
      <c r="E665" s="71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x14ac:dyDescent="0.25" r="666" customHeight="1" ht="16.5">
      <c r="A666" s="30"/>
      <c r="B666" s="30"/>
      <c r="C666" s="71"/>
      <c r="D666" s="71"/>
      <c r="E666" s="71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x14ac:dyDescent="0.25" r="667" customHeight="1" ht="16.5">
      <c r="A667" s="30"/>
      <c r="B667" s="30"/>
      <c r="C667" s="71"/>
      <c r="D667" s="71"/>
      <c r="E667" s="71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x14ac:dyDescent="0.25" r="668" customHeight="1" ht="16.5">
      <c r="A668" s="30"/>
      <c r="B668" s="30"/>
      <c r="C668" s="71"/>
      <c r="D668" s="71"/>
      <c r="E668" s="71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x14ac:dyDescent="0.25" r="669" customHeight="1" ht="16.5">
      <c r="A669" s="30"/>
      <c r="B669" s="30"/>
      <c r="C669" s="71"/>
      <c r="D669" s="71"/>
      <c r="E669" s="71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x14ac:dyDescent="0.25" r="670" customHeight="1" ht="16.5">
      <c r="A670" s="30"/>
      <c r="B670" s="30"/>
      <c r="C670" s="71"/>
      <c r="D670" s="71"/>
      <c r="E670" s="71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x14ac:dyDescent="0.25" r="671" customHeight="1" ht="16.5">
      <c r="A671" s="30"/>
      <c r="B671" s="30"/>
      <c r="C671" s="71"/>
      <c r="D671" s="71"/>
      <c r="E671" s="71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x14ac:dyDescent="0.25" r="672" customHeight="1" ht="16.5">
      <c r="A672" s="30"/>
      <c r="B672" s="30"/>
      <c r="C672" s="71"/>
      <c r="D672" s="71"/>
      <c r="E672" s="71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x14ac:dyDescent="0.25" r="673" customHeight="1" ht="16.5">
      <c r="A673" s="30"/>
      <c r="B673" s="30"/>
      <c r="C673" s="71"/>
      <c r="D673" s="71"/>
      <c r="E673" s="71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x14ac:dyDescent="0.25" r="674" customHeight="1" ht="16.5">
      <c r="A674" s="30"/>
      <c r="B674" s="30"/>
      <c r="C674" s="71"/>
      <c r="D674" s="71"/>
      <c r="E674" s="71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x14ac:dyDescent="0.25" r="675" customHeight="1" ht="16.5">
      <c r="A675" s="30"/>
      <c r="B675" s="30"/>
      <c r="C675" s="71"/>
      <c r="D675" s="71"/>
      <c r="E675" s="71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x14ac:dyDescent="0.25" r="676" customHeight="1" ht="16.5">
      <c r="A676" s="30"/>
      <c r="B676" s="30"/>
      <c r="C676" s="71"/>
      <c r="D676" s="71"/>
      <c r="E676" s="71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x14ac:dyDescent="0.25" r="677" customHeight="1" ht="16.5">
      <c r="A677" s="30"/>
      <c r="B677" s="30"/>
      <c r="C677" s="71"/>
      <c r="D677" s="71"/>
      <c r="E677" s="71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x14ac:dyDescent="0.25" r="678" customHeight="1" ht="16.5">
      <c r="A678" s="30"/>
      <c r="B678" s="30"/>
      <c r="C678" s="71"/>
      <c r="D678" s="71"/>
      <c r="E678" s="71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x14ac:dyDescent="0.25" r="679" customHeight="1" ht="16.5">
      <c r="A679" s="30"/>
      <c r="B679" s="30"/>
      <c r="C679" s="71"/>
      <c r="D679" s="71"/>
      <c r="E679" s="71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x14ac:dyDescent="0.25" r="680" customHeight="1" ht="16.5">
      <c r="A680" s="30"/>
      <c r="B680" s="30"/>
      <c r="C680" s="71"/>
      <c r="D680" s="71"/>
      <c r="E680" s="71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x14ac:dyDescent="0.25" r="681" customHeight="1" ht="16.5">
      <c r="A681" s="30"/>
      <c r="B681" s="30"/>
      <c r="C681" s="71"/>
      <c r="D681" s="71"/>
      <c r="E681" s="71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x14ac:dyDescent="0.25" r="682" customHeight="1" ht="16.5">
      <c r="A682" s="30"/>
      <c r="B682" s="30"/>
      <c r="C682" s="71"/>
      <c r="D682" s="71"/>
      <c r="E682" s="71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x14ac:dyDescent="0.25" r="683" customHeight="1" ht="16.5">
      <c r="A683" s="30"/>
      <c r="B683" s="30"/>
      <c r="C683" s="71"/>
      <c r="D683" s="71"/>
      <c r="E683" s="71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x14ac:dyDescent="0.25" r="684" customHeight="1" ht="16.5">
      <c r="A684" s="30"/>
      <c r="B684" s="30"/>
      <c r="C684" s="71"/>
      <c r="D684" s="71"/>
      <c r="E684" s="71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x14ac:dyDescent="0.25" r="685" customHeight="1" ht="16.5">
      <c r="A685" s="30"/>
      <c r="B685" s="30"/>
      <c r="C685" s="71"/>
      <c r="D685" s="71"/>
      <c r="E685" s="71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x14ac:dyDescent="0.25" r="686" customHeight="1" ht="16.5">
      <c r="A686" s="30"/>
      <c r="B686" s="30"/>
      <c r="C686" s="71"/>
      <c r="D686" s="71"/>
      <c r="E686" s="71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x14ac:dyDescent="0.25" r="687" customHeight="1" ht="16.5">
      <c r="A687" s="30"/>
      <c r="B687" s="30"/>
      <c r="C687" s="71"/>
      <c r="D687" s="71"/>
      <c r="E687" s="71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x14ac:dyDescent="0.25" r="688" customHeight="1" ht="16.5">
      <c r="A688" s="30"/>
      <c r="B688" s="30"/>
      <c r="C688" s="71"/>
      <c r="D688" s="71"/>
      <c r="E688" s="71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x14ac:dyDescent="0.25" r="689" customHeight="1" ht="16.5">
      <c r="A689" s="30"/>
      <c r="B689" s="30"/>
      <c r="C689" s="71"/>
      <c r="D689" s="71"/>
      <c r="E689" s="71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x14ac:dyDescent="0.25" r="690" customHeight="1" ht="16.5">
      <c r="A690" s="30"/>
      <c r="B690" s="30"/>
      <c r="C690" s="71"/>
      <c r="D690" s="71"/>
      <c r="E690" s="71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x14ac:dyDescent="0.25" r="691" customHeight="1" ht="16.5">
      <c r="A691" s="30"/>
      <c r="B691" s="30"/>
      <c r="C691" s="71"/>
      <c r="D691" s="71"/>
      <c r="E691" s="71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x14ac:dyDescent="0.25" r="692" customHeight="1" ht="16.5">
      <c r="A692" s="30"/>
      <c r="B692" s="30"/>
      <c r="C692" s="71"/>
      <c r="D692" s="71"/>
      <c r="E692" s="71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x14ac:dyDescent="0.25" r="693" customHeight="1" ht="16.5">
      <c r="A693" s="30"/>
      <c r="B693" s="30"/>
      <c r="C693" s="71"/>
      <c r="D693" s="71"/>
      <c r="E693" s="71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x14ac:dyDescent="0.25" r="694" customHeight="1" ht="16.5">
      <c r="A694" s="30"/>
      <c r="B694" s="30"/>
      <c r="C694" s="71"/>
      <c r="D694" s="71"/>
      <c r="E694" s="71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x14ac:dyDescent="0.25" r="695" customHeight="1" ht="16.5">
      <c r="A695" s="30"/>
      <c r="B695" s="30"/>
      <c r="C695" s="71"/>
      <c r="D695" s="71"/>
      <c r="E695" s="71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x14ac:dyDescent="0.25" r="696" customHeight="1" ht="16.5">
      <c r="A696" s="30"/>
      <c r="B696" s="30"/>
      <c r="C696" s="71"/>
      <c r="D696" s="71"/>
      <c r="E696" s="71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x14ac:dyDescent="0.25" r="697" customHeight="1" ht="16.5">
      <c r="A697" s="30"/>
      <c r="B697" s="30"/>
      <c r="C697" s="71"/>
      <c r="D697" s="71"/>
      <c r="E697" s="71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x14ac:dyDescent="0.25" r="698" customHeight="1" ht="16.5">
      <c r="A698" s="30"/>
      <c r="B698" s="30"/>
      <c r="C698" s="71"/>
      <c r="D698" s="71"/>
      <c r="E698" s="71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x14ac:dyDescent="0.25" r="699" customHeight="1" ht="16.5">
      <c r="A699" s="30"/>
      <c r="B699" s="30"/>
      <c r="C699" s="71"/>
      <c r="D699" s="71"/>
      <c r="E699" s="71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x14ac:dyDescent="0.25" r="700" customHeight="1" ht="16.5">
      <c r="A700" s="30"/>
      <c r="B700" s="30"/>
      <c r="C700" s="71"/>
      <c r="D700" s="71"/>
      <c r="E700" s="71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x14ac:dyDescent="0.25" r="701" customHeight="1" ht="16.5">
      <c r="A701" s="30"/>
      <c r="B701" s="30"/>
      <c r="C701" s="71"/>
      <c r="D701" s="71"/>
      <c r="E701" s="71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x14ac:dyDescent="0.25" r="702" customHeight="1" ht="16.5">
      <c r="A702" s="30"/>
      <c r="B702" s="30"/>
      <c r="C702" s="71"/>
      <c r="D702" s="71"/>
      <c r="E702" s="71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x14ac:dyDescent="0.25" r="703" customHeight="1" ht="16.5">
      <c r="A703" s="30"/>
      <c r="B703" s="30"/>
      <c r="C703" s="71"/>
      <c r="D703" s="71"/>
      <c r="E703" s="71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x14ac:dyDescent="0.25" r="704" customHeight="1" ht="16.5">
      <c r="A704" s="30"/>
      <c r="B704" s="30"/>
      <c r="C704" s="71"/>
      <c r="D704" s="71"/>
      <c r="E704" s="71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x14ac:dyDescent="0.25" r="705" customHeight="1" ht="16.5">
      <c r="A705" s="30"/>
      <c r="B705" s="30"/>
      <c r="C705" s="71"/>
      <c r="D705" s="71"/>
      <c r="E705" s="71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x14ac:dyDescent="0.25" r="706" customHeight="1" ht="16.5">
      <c r="A706" s="30"/>
      <c r="B706" s="30"/>
      <c r="C706" s="71"/>
      <c r="D706" s="71"/>
      <c r="E706" s="71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x14ac:dyDescent="0.25" r="707" customHeight="1" ht="16.5">
      <c r="A707" s="30"/>
      <c r="B707" s="30"/>
      <c r="C707" s="71"/>
      <c r="D707" s="71"/>
      <c r="E707" s="71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x14ac:dyDescent="0.25" r="708" customHeight="1" ht="16.5">
      <c r="A708" s="30"/>
      <c r="B708" s="30"/>
      <c r="C708" s="71"/>
      <c r="D708" s="71"/>
      <c r="E708" s="71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x14ac:dyDescent="0.25" r="709" customHeight="1" ht="16.5">
      <c r="A709" s="30"/>
      <c r="B709" s="30"/>
      <c r="C709" s="71"/>
      <c r="D709" s="71"/>
      <c r="E709" s="71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x14ac:dyDescent="0.25" r="710" customHeight="1" ht="16.5">
      <c r="A710" s="30"/>
      <c r="B710" s="30"/>
      <c r="C710" s="71"/>
      <c r="D710" s="71"/>
      <c r="E710" s="71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x14ac:dyDescent="0.25" r="711" customHeight="1" ht="16.5">
      <c r="A711" s="30"/>
      <c r="B711" s="30"/>
      <c r="C711" s="71"/>
      <c r="D711" s="71"/>
      <c r="E711" s="71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x14ac:dyDescent="0.25" r="712" customHeight="1" ht="16.5">
      <c r="A712" s="30"/>
      <c r="B712" s="30"/>
      <c r="C712" s="71"/>
      <c r="D712" s="71"/>
      <c r="E712" s="71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x14ac:dyDescent="0.25" r="713" customHeight="1" ht="16.5">
      <c r="A713" s="30"/>
      <c r="B713" s="30"/>
      <c r="C713" s="71"/>
      <c r="D713" s="71"/>
      <c r="E713" s="71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x14ac:dyDescent="0.25" r="714" customHeight="1" ht="16.5">
      <c r="A714" s="30"/>
      <c r="B714" s="30"/>
      <c r="C714" s="71"/>
      <c r="D714" s="71"/>
      <c r="E714" s="71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x14ac:dyDescent="0.25" r="715" customHeight="1" ht="16.5">
      <c r="A715" s="30"/>
      <c r="B715" s="30"/>
      <c r="C715" s="71"/>
      <c r="D715" s="71"/>
      <c r="E715" s="71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x14ac:dyDescent="0.25" r="716" customHeight="1" ht="16.5">
      <c r="A716" s="30"/>
      <c r="B716" s="30"/>
      <c r="C716" s="71"/>
      <c r="D716" s="71"/>
      <c r="E716" s="71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x14ac:dyDescent="0.25" r="717" customHeight="1" ht="16.5">
      <c r="A717" s="30"/>
      <c r="B717" s="30"/>
      <c r="C717" s="71"/>
      <c r="D717" s="71"/>
      <c r="E717" s="71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x14ac:dyDescent="0.25" r="718" customHeight="1" ht="16.5">
      <c r="A718" s="30"/>
      <c r="B718" s="30"/>
      <c r="C718" s="71"/>
      <c r="D718" s="71"/>
      <c r="E718" s="71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x14ac:dyDescent="0.25" r="719" customHeight="1" ht="16.5">
      <c r="A719" s="30"/>
      <c r="B719" s="30"/>
      <c r="C719" s="71"/>
      <c r="D719" s="71"/>
      <c r="E719" s="71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x14ac:dyDescent="0.25" r="720" customHeight="1" ht="16.5">
      <c r="A720" s="30"/>
      <c r="B720" s="30"/>
      <c r="C720" s="71"/>
      <c r="D720" s="71"/>
      <c r="E720" s="71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x14ac:dyDescent="0.25" r="721" customHeight="1" ht="16.5">
      <c r="A721" s="30"/>
      <c r="B721" s="30"/>
      <c r="C721" s="71"/>
      <c r="D721" s="71"/>
      <c r="E721" s="71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x14ac:dyDescent="0.25" r="722" customHeight="1" ht="16.5">
      <c r="A722" s="30"/>
      <c r="B722" s="30"/>
      <c r="C722" s="71"/>
      <c r="D722" s="71"/>
      <c r="E722" s="71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x14ac:dyDescent="0.25" r="723" customHeight="1" ht="16.5">
      <c r="A723" s="30"/>
      <c r="B723" s="30"/>
      <c r="C723" s="71"/>
      <c r="D723" s="71"/>
      <c r="E723" s="71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x14ac:dyDescent="0.25" r="724" customHeight="1" ht="16.5">
      <c r="A724" s="30"/>
      <c r="B724" s="30"/>
      <c r="C724" s="71"/>
      <c r="D724" s="71"/>
      <c r="E724" s="71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x14ac:dyDescent="0.25" r="725" customHeight="1" ht="16.5">
      <c r="A725" s="30"/>
      <c r="B725" s="30"/>
      <c r="C725" s="71"/>
      <c r="D725" s="71"/>
      <c r="E725" s="71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x14ac:dyDescent="0.25" r="726" customHeight="1" ht="16.5">
      <c r="A726" s="30"/>
      <c r="B726" s="30"/>
      <c r="C726" s="71"/>
      <c r="D726" s="71"/>
      <c r="E726" s="71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x14ac:dyDescent="0.25" r="727" customHeight="1" ht="16.5">
      <c r="A727" s="30"/>
      <c r="B727" s="30"/>
      <c r="C727" s="71"/>
      <c r="D727" s="71"/>
      <c r="E727" s="71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x14ac:dyDescent="0.25" r="728" customHeight="1" ht="16.5">
      <c r="A728" s="30"/>
      <c r="B728" s="30"/>
      <c r="C728" s="71"/>
      <c r="D728" s="71"/>
      <c r="E728" s="71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x14ac:dyDescent="0.25" r="729" customHeight="1" ht="16.5">
      <c r="A729" s="30"/>
      <c r="B729" s="30"/>
      <c r="C729" s="71"/>
      <c r="D729" s="71"/>
      <c r="E729" s="71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x14ac:dyDescent="0.25" r="730" customHeight="1" ht="16.5">
      <c r="A730" s="30"/>
      <c r="B730" s="30"/>
      <c r="C730" s="71"/>
      <c r="D730" s="71"/>
      <c r="E730" s="71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x14ac:dyDescent="0.25" r="731" customHeight="1" ht="16.5">
      <c r="A731" s="30"/>
      <c r="B731" s="30"/>
      <c r="C731" s="71"/>
      <c r="D731" s="71"/>
      <c r="E731" s="71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x14ac:dyDescent="0.25" r="732" customHeight="1" ht="16.5">
      <c r="A732" s="30"/>
      <c r="B732" s="30"/>
      <c r="C732" s="71"/>
      <c r="D732" s="71"/>
      <c r="E732" s="71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x14ac:dyDescent="0.25" r="733" customHeight="1" ht="16.5">
      <c r="A733" s="30"/>
      <c r="B733" s="30"/>
      <c r="C733" s="71"/>
      <c r="D733" s="71"/>
      <c r="E733" s="71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x14ac:dyDescent="0.25" r="734" customHeight="1" ht="16.5">
      <c r="A734" s="30"/>
      <c r="B734" s="30"/>
      <c r="C734" s="71"/>
      <c r="D734" s="71"/>
      <c r="E734" s="71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x14ac:dyDescent="0.25" r="735" customHeight="1" ht="16.5">
      <c r="A735" s="30"/>
      <c r="B735" s="30"/>
      <c r="C735" s="71"/>
      <c r="D735" s="71"/>
      <c r="E735" s="71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x14ac:dyDescent="0.25" r="736" customHeight="1" ht="16.5">
      <c r="A736" s="30"/>
      <c r="B736" s="30"/>
      <c r="C736" s="71"/>
      <c r="D736" s="71"/>
      <c r="E736" s="71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x14ac:dyDescent="0.25" r="737" customHeight="1" ht="16.5">
      <c r="A737" s="30"/>
      <c r="B737" s="30"/>
      <c r="C737" s="71"/>
      <c r="D737" s="71"/>
      <c r="E737" s="71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x14ac:dyDescent="0.25" r="738" customHeight="1" ht="16.5">
      <c r="A738" s="30"/>
      <c r="B738" s="30"/>
      <c r="C738" s="71"/>
      <c r="D738" s="71"/>
      <c r="E738" s="71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x14ac:dyDescent="0.25" r="739" customHeight="1" ht="16.5">
      <c r="A739" s="30"/>
      <c r="B739" s="30"/>
      <c r="C739" s="71"/>
      <c r="D739" s="71"/>
      <c r="E739" s="71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x14ac:dyDescent="0.25" r="740" customHeight="1" ht="16.5">
      <c r="A740" s="30"/>
      <c r="B740" s="30"/>
      <c r="C740" s="71"/>
      <c r="D740" s="71"/>
      <c r="E740" s="71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x14ac:dyDescent="0.25" r="741" customHeight="1" ht="16.5">
      <c r="A741" s="30"/>
      <c r="B741" s="30"/>
      <c r="C741" s="71"/>
      <c r="D741" s="71"/>
      <c r="E741" s="71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x14ac:dyDescent="0.25" r="742" customHeight="1" ht="16.5">
      <c r="A742" s="30"/>
      <c r="B742" s="30"/>
      <c r="C742" s="71"/>
      <c r="D742" s="71"/>
      <c r="E742" s="71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x14ac:dyDescent="0.25" r="743" customHeight="1" ht="16.5">
      <c r="A743" s="30"/>
      <c r="B743" s="30"/>
      <c r="C743" s="71"/>
      <c r="D743" s="71"/>
      <c r="E743" s="71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x14ac:dyDescent="0.25" r="744" customHeight="1" ht="16.5">
      <c r="A744" s="30"/>
      <c r="B744" s="30"/>
      <c r="C744" s="71"/>
      <c r="D744" s="71"/>
      <c r="E744" s="71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x14ac:dyDescent="0.25" r="745" customHeight="1" ht="16.5">
      <c r="A745" s="30"/>
      <c r="B745" s="30"/>
      <c r="C745" s="71"/>
      <c r="D745" s="71"/>
      <c r="E745" s="71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x14ac:dyDescent="0.25" r="746" customHeight="1" ht="16.5">
      <c r="A746" s="30"/>
      <c r="B746" s="30"/>
      <c r="C746" s="71"/>
      <c r="D746" s="71"/>
      <c r="E746" s="71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x14ac:dyDescent="0.25" r="747" customHeight="1" ht="16.5">
      <c r="A747" s="30"/>
      <c r="B747" s="30"/>
      <c r="C747" s="71"/>
      <c r="D747" s="71"/>
      <c r="E747" s="71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x14ac:dyDescent="0.25" r="748" customHeight="1" ht="16.5">
      <c r="A748" s="30"/>
      <c r="B748" s="30"/>
      <c r="C748" s="71"/>
      <c r="D748" s="71"/>
      <c r="E748" s="71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x14ac:dyDescent="0.25" r="749" customHeight="1" ht="16.5">
      <c r="A749" s="30"/>
      <c r="B749" s="30"/>
      <c r="C749" s="71"/>
      <c r="D749" s="71"/>
      <c r="E749" s="71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x14ac:dyDescent="0.25" r="750" customHeight="1" ht="16.5">
      <c r="A750" s="30"/>
      <c r="B750" s="30"/>
      <c r="C750" s="71"/>
      <c r="D750" s="71"/>
      <c r="E750" s="71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x14ac:dyDescent="0.25" r="751" customHeight="1" ht="16.5">
      <c r="A751" s="30"/>
      <c r="B751" s="30"/>
      <c r="C751" s="71"/>
      <c r="D751" s="71"/>
      <c r="E751" s="71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x14ac:dyDescent="0.25" r="752" customHeight="1" ht="16.5">
      <c r="A752" s="30"/>
      <c r="B752" s="30"/>
      <c r="C752" s="71"/>
      <c r="D752" s="71"/>
      <c r="E752" s="71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x14ac:dyDescent="0.25" r="753" customHeight="1" ht="16.5">
      <c r="A753" s="30"/>
      <c r="B753" s="30"/>
      <c r="C753" s="71"/>
      <c r="D753" s="71"/>
      <c r="E753" s="71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x14ac:dyDescent="0.25" r="754" customHeight="1" ht="16.5">
      <c r="A754" s="30"/>
      <c r="B754" s="30"/>
      <c r="C754" s="71"/>
      <c r="D754" s="71"/>
      <c r="E754" s="71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x14ac:dyDescent="0.25" r="755" customHeight="1" ht="16.5">
      <c r="A755" s="30"/>
      <c r="B755" s="30"/>
      <c r="C755" s="71"/>
      <c r="D755" s="71"/>
      <c r="E755" s="71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x14ac:dyDescent="0.25" r="756" customHeight="1" ht="16.5">
      <c r="A756" s="30"/>
      <c r="B756" s="30"/>
      <c r="C756" s="71"/>
      <c r="D756" s="71"/>
      <c r="E756" s="71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x14ac:dyDescent="0.25" r="757" customHeight="1" ht="16.5">
      <c r="A757" s="30"/>
      <c r="B757" s="30"/>
      <c r="C757" s="71"/>
      <c r="D757" s="71"/>
      <c r="E757" s="71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x14ac:dyDescent="0.25" r="758" customHeight="1" ht="16.5">
      <c r="A758" s="30"/>
      <c r="B758" s="30"/>
      <c r="C758" s="71"/>
      <c r="D758" s="71"/>
      <c r="E758" s="71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x14ac:dyDescent="0.25" r="759" customHeight="1" ht="16.5">
      <c r="A759" s="30"/>
      <c r="B759" s="30"/>
      <c r="C759" s="71"/>
      <c r="D759" s="71"/>
      <c r="E759" s="71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x14ac:dyDescent="0.25" r="760" customHeight="1" ht="16.5">
      <c r="A760" s="30"/>
      <c r="B760" s="30"/>
      <c r="C760" s="71"/>
      <c r="D760" s="71"/>
      <c r="E760" s="71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x14ac:dyDescent="0.25" r="761" customHeight="1" ht="16.5">
      <c r="A761" s="30"/>
      <c r="B761" s="30"/>
      <c r="C761" s="71"/>
      <c r="D761" s="71"/>
      <c r="E761" s="71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x14ac:dyDescent="0.25" r="762" customHeight="1" ht="16.5">
      <c r="A762" s="30"/>
      <c r="B762" s="30"/>
      <c r="C762" s="71"/>
      <c r="D762" s="71"/>
      <c r="E762" s="71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x14ac:dyDescent="0.25" r="763" customHeight="1" ht="16.5">
      <c r="A763" s="30"/>
      <c r="B763" s="30"/>
      <c r="C763" s="71"/>
      <c r="D763" s="71"/>
      <c r="E763" s="71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x14ac:dyDescent="0.25" r="764" customHeight="1" ht="16.5">
      <c r="A764" s="30"/>
      <c r="B764" s="30"/>
      <c r="C764" s="71"/>
      <c r="D764" s="71"/>
      <c r="E764" s="71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x14ac:dyDescent="0.25" r="765" customHeight="1" ht="16.5">
      <c r="A765" s="30"/>
      <c r="B765" s="30"/>
      <c r="C765" s="71"/>
      <c r="D765" s="71"/>
      <c r="E765" s="71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x14ac:dyDescent="0.25" r="766" customHeight="1" ht="16.5">
      <c r="A766" s="30"/>
      <c r="B766" s="30"/>
      <c r="C766" s="71"/>
      <c r="D766" s="71"/>
      <c r="E766" s="71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x14ac:dyDescent="0.25" r="767" customHeight="1" ht="16.5">
      <c r="A767" s="30"/>
      <c r="B767" s="30"/>
      <c r="C767" s="71"/>
      <c r="D767" s="71"/>
      <c r="E767" s="71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x14ac:dyDescent="0.25" r="768" customHeight="1" ht="16.5">
      <c r="A768" s="30"/>
      <c r="B768" s="30"/>
      <c r="C768" s="71"/>
      <c r="D768" s="71"/>
      <c r="E768" s="71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x14ac:dyDescent="0.25" r="769" customHeight="1" ht="16.5">
      <c r="A769" s="30"/>
      <c r="B769" s="30"/>
      <c r="C769" s="71"/>
      <c r="D769" s="71"/>
      <c r="E769" s="71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x14ac:dyDescent="0.25" r="770" customHeight="1" ht="16.5">
      <c r="A770" s="30"/>
      <c r="B770" s="30"/>
      <c r="C770" s="71"/>
      <c r="D770" s="71"/>
      <c r="E770" s="71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x14ac:dyDescent="0.25" r="771" customHeight="1" ht="16.5">
      <c r="A771" s="30"/>
      <c r="B771" s="30"/>
      <c r="C771" s="71"/>
      <c r="D771" s="71"/>
      <c r="E771" s="71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x14ac:dyDescent="0.25" r="772" customHeight="1" ht="16.5">
      <c r="A772" s="30"/>
      <c r="B772" s="30"/>
      <c r="C772" s="71"/>
      <c r="D772" s="71"/>
      <c r="E772" s="71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x14ac:dyDescent="0.25" r="773" customHeight="1" ht="16.5">
      <c r="A773" s="30"/>
      <c r="B773" s="30"/>
      <c r="C773" s="71"/>
      <c r="D773" s="71"/>
      <c r="E773" s="71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x14ac:dyDescent="0.25" r="774" customHeight="1" ht="16.5">
      <c r="A774" s="30"/>
      <c r="B774" s="30"/>
      <c r="C774" s="71"/>
      <c r="D774" s="71"/>
      <c r="E774" s="71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x14ac:dyDescent="0.25" r="775" customHeight="1" ht="16.5">
      <c r="A775" s="30"/>
      <c r="B775" s="30"/>
      <c r="C775" s="71"/>
      <c r="D775" s="71"/>
      <c r="E775" s="71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x14ac:dyDescent="0.25" r="776" customHeight="1" ht="16.5">
      <c r="A776" s="30"/>
      <c r="B776" s="30"/>
      <c r="C776" s="71"/>
      <c r="D776" s="71"/>
      <c r="E776" s="71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x14ac:dyDescent="0.25" r="777" customHeight="1" ht="16.5">
      <c r="A777" s="30"/>
      <c r="B777" s="30"/>
      <c r="C777" s="71"/>
      <c r="D777" s="71"/>
      <c r="E777" s="71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x14ac:dyDescent="0.25" r="778" customHeight="1" ht="16.5">
      <c r="A778" s="30"/>
      <c r="B778" s="30"/>
      <c r="C778" s="71"/>
      <c r="D778" s="71"/>
      <c r="E778" s="71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x14ac:dyDescent="0.25" r="779" customHeight="1" ht="16.5">
      <c r="A779" s="30"/>
      <c r="B779" s="30"/>
      <c r="C779" s="71"/>
      <c r="D779" s="71"/>
      <c r="E779" s="71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x14ac:dyDescent="0.25" r="780" customHeight="1" ht="16.5">
      <c r="A780" s="30"/>
      <c r="B780" s="30"/>
      <c r="C780" s="71"/>
      <c r="D780" s="71"/>
      <c r="E780" s="71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x14ac:dyDescent="0.25" r="781" customHeight="1" ht="16.5">
      <c r="A781" s="30"/>
      <c r="B781" s="30"/>
      <c r="C781" s="71"/>
      <c r="D781" s="71"/>
      <c r="E781" s="71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x14ac:dyDescent="0.25" r="782" customHeight="1" ht="16.5">
      <c r="A782" s="30"/>
      <c r="B782" s="30"/>
      <c r="C782" s="71"/>
      <c r="D782" s="71"/>
      <c r="E782" s="71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x14ac:dyDescent="0.25" r="783" customHeight="1" ht="16.5">
      <c r="A783" s="30"/>
      <c r="B783" s="30"/>
      <c r="C783" s="71"/>
      <c r="D783" s="71"/>
      <c r="E783" s="71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x14ac:dyDescent="0.25" r="784" customHeight="1" ht="16.5">
      <c r="A784" s="30"/>
      <c r="B784" s="30"/>
      <c r="C784" s="71"/>
      <c r="D784" s="71"/>
      <c r="E784" s="71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x14ac:dyDescent="0.25" r="785" customHeight="1" ht="16.5">
      <c r="A785" s="30"/>
      <c r="B785" s="30"/>
      <c r="C785" s="71"/>
      <c r="D785" s="71"/>
      <c r="E785" s="71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x14ac:dyDescent="0.25" r="786" customHeight="1" ht="16.5">
      <c r="A786" s="30"/>
      <c r="B786" s="30"/>
      <c r="C786" s="71"/>
      <c r="D786" s="71"/>
      <c r="E786" s="71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x14ac:dyDescent="0.25" r="787" customHeight="1" ht="16.5">
      <c r="A787" s="30"/>
      <c r="B787" s="30"/>
      <c r="C787" s="71"/>
      <c r="D787" s="71"/>
      <c r="E787" s="71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x14ac:dyDescent="0.25" r="788" customHeight="1" ht="16.5">
      <c r="A788" s="30"/>
      <c r="B788" s="30"/>
      <c r="C788" s="71"/>
      <c r="D788" s="71"/>
      <c r="E788" s="71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x14ac:dyDescent="0.25" r="789" customHeight="1" ht="16.5">
      <c r="A789" s="30"/>
      <c r="B789" s="30"/>
      <c r="C789" s="71"/>
      <c r="D789" s="71"/>
      <c r="E789" s="71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x14ac:dyDescent="0.25" r="790" customHeight="1" ht="16.5">
      <c r="A790" s="30"/>
      <c r="B790" s="30"/>
      <c r="C790" s="71"/>
      <c r="D790" s="71"/>
      <c r="E790" s="71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x14ac:dyDescent="0.25" r="791" customHeight="1" ht="16.5">
      <c r="A791" s="30"/>
      <c r="B791" s="30"/>
      <c r="C791" s="71"/>
      <c r="D791" s="71"/>
      <c r="E791" s="71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x14ac:dyDescent="0.25" r="792" customHeight="1" ht="16.5">
      <c r="A792" s="30"/>
      <c r="B792" s="30"/>
      <c r="C792" s="71"/>
      <c r="D792" s="71"/>
      <c r="E792" s="71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x14ac:dyDescent="0.25" r="793" customHeight="1" ht="16.5">
      <c r="A793" s="30"/>
      <c r="B793" s="30"/>
      <c r="C793" s="71"/>
      <c r="D793" s="71"/>
      <c r="E793" s="71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x14ac:dyDescent="0.25" r="794" customHeight="1" ht="16.5">
      <c r="A794" s="30"/>
      <c r="B794" s="30"/>
      <c r="C794" s="71"/>
      <c r="D794" s="71"/>
      <c r="E794" s="71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x14ac:dyDescent="0.25" r="795" customHeight="1" ht="16.5">
      <c r="A795" s="30"/>
      <c r="B795" s="30"/>
      <c r="C795" s="71"/>
      <c r="D795" s="71"/>
      <c r="E795" s="71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x14ac:dyDescent="0.25" r="796" customHeight="1" ht="16.5">
      <c r="A796" s="30"/>
      <c r="B796" s="30"/>
      <c r="C796" s="71"/>
      <c r="D796" s="71"/>
      <c r="E796" s="71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x14ac:dyDescent="0.25" r="797" customHeight="1" ht="16.5">
      <c r="A797" s="30"/>
      <c r="B797" s="30"/>
      <c r="C797" s="71"/>
      <c r="D797" s="71"/>
      <c r="E797" s="71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x14ac:dyDescent="0.25" r="798" customHeight="1" ht="16.5">
      <c r="A798" s="30"/>
      <c r="B798" s="30"/>
      <c r="C798" s="71"/>
      <c r="D798" s="71"/>
      <c r="E798" s="71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x14ac:dyDescent="0.25" r="799" customHeight="1" ht="16.5">
      <c r="A799" s="30"/>
      <c r="B799" s="30"/>
      <c r="C799" s="71"/>
      <c r="D799" s="71"/>
      <c r="E799" s="71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x14ac:dyDescent="0.25" r="800" customHeight="1" ht="16.5">
      <c r="A800" s="30"/>
      <c r="B800" s="30"/>
      <c r="C800" s="71"/>
      <c r="D800" s="71"/>
      <c r="E800" s="71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x14ac:dyDescent="0.25" r="801" customHeight="1" ht="16.5">
      <c r="A801" s="30"/>
      <c r="B801" s="30"/>
      <c r="C801" s="71"/>
      <c r="D801" s="71"/>
      <c r="E801" s="71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x14ac:dyDescent="0.25" r="802" customHeight="1" ht="16.5">
      <c r="A802" s="30"/>
      <c r="B802" s="30"/>
      <c r="C802" s="71"/>
      <c r="D802" s="71"/>
      <c r="E802" s="71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x14ac:dyDescent="0.25" r="803" customHeight="1" ht="16.5">
      <c r="A803" s="30"/>
      <c r="B803" s="30"/>
      <c r="C803" s="71"/>
      <c r="D803" s="71"/>
      <c r="E803" s="71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x14ac:dyDescent="0.25" r="804" customHeight="1" ht="16.5">
      <c r="A804" s="30"/>
      <c r="B804" s="30"/>
      <c r="C804" s="71"/>
      <c r="D804" s="71"/>
      <c r="E804" s="71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x14ac:dyDescent="0.25" r="805" customHeight="1" ht="16.5">
      <c r="A805" s="30"/>
      <c r="B805" s="30"/>
      <c r="C805" s="71"/>
      <c r="D805" s="71"/>
      <c r="E805" s="71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x14ac:dyDescent="0.25" r="806" customHeight="1" ht="16.5">
      <c r="A806" s="30"/>
      <c r="B806" s="30"/>
      <c r="C806" s="71"/>
      <c r="D806" s="71"/>
      <c r="E806" s="71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x14ac:dyDescent="0.25" r="807" customHeight="1" ht="16.5">
      <c r="A807" s="30"/>
      <c r="B807" s="30"/>
      <c r="C807" s="71"/>
      <c r="D807" s="71"/>
      <c r="E807" s="71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x14ac:dyDescent="0.25" r="808" customHeight="1" ht="16.5">
      <c r="A808" s="30"/>
      <c r="B808" s="30"/>
      <c r="C808" s="71"/>
      <c r="D808" s="71"/>
      <c r="E808" s="71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x14ac:dyDescent="0.25" r="809" customHeight="1" ht="16.5">
      <c r="A809" s="30"/>
      <c r="B809" s="30"/>
      <c r="C809" s="71"/>
      <c r="D809" s="71"/>
      <c r="E809" s="71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x14ac:dyDescent="0.25" r="810" customHeight="1" ht="16.5">
      <c r="A810" s="30"/>
      <c r="B810" s="30"/>
      <c r="C810" s="71"/>
      <c r="D810" s="71"/>
      <c r="E810" s="71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x14ac:dyDescent="0.25" r="811" customHeight="1" ht="16.5">
      <c r="A811" s="30"/>
      <c r="B811" s="30"/>
      <c r="C811" s="71"/>
      <c r="D811" s="71"/>
      <c r="E811" s="71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x14ac:dyDescent="0.25" r="812" customHeight="1" ht="16.5">
      <c r="A812" s="30"/>
      <c r="B812" s="30"/>
      <c r="C812" s="71"/>
      <c r="D812" s="71"/>
      <c r="E812" s="71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x14ac:dyDescent="0.25" r="813" customHeight="1" ht="16.5">
      <c r="A813" s="30"/>
      <c r="B813" s="30"/>
      <c r="C813" s="71"/>
      <c r="D813" s="71"/>
      <c r="E813" s="71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x14ac:dyDescent="0.25" r="814" customHeight="1" ht="16.5">
      <c r="A814" s="30"/>
      <c r="B814" s="30"/>
      <c r="C814" s="71"/>
      <c r="D814" s="71"/>
      <c r="E814" s="71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x14ac:dyDescent="0.25" r="815" customHeight="1" ht="16.5">
      <c r="A815" s="30"/>
      <c r="B815" s="30"/>
      <c r="C815" s="71"/>
      <c r="D815" s="71"/>
      <c r="E815" s="71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x14ac:dyDescent="0.25" r="816" customHeight="1" ht="16.5">
      <c r="A816" s="30"/>
      <c r="B816" s="30"/>
      <c r="C816" s="71"/>
      <c r="D816" s="71"/>
      <c r="E816" s="71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x14ac:dyDescent="0.25" r="817" customHeight="1" ht="16.5">
      <c r="A817" s="30"/>
      <c r="B817" s="30"/>
      <c r="C817" s="71"/>
      <c r="D817" s="71"/>
      <c r="E817" s="71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x14ac:dyDescent="0.25" r="818" customHeight="1" ht="16.5">
      <c r="A818" s="30"/>
      <c r="B818" s="30"/>
      <c r="C818" s="71"/>
      <c r="D818" s="71"/>
      <c r="E818" s="71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x14ac:dyDescent="0.25" r="819" customHeight="1" ht="16.5">
      <c r="A819" s="30"/>
      <c r="B819" s="30"/>
      <c r="C819" s="71"/>
      <c r="D819" s="71"/>
      <c r="E819" s="71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x14ac:dyDescent="0.25" r="820" customHeight="1" ht="16.5">
      <c r="A820" s="30"/>
      <c r="B820" s="30"/>
      <c r="C820" s="71"/>
      <c r="D820" s="71"/>
      <c r="E820" s="71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x14ac:dyDescent="0.25" r="821" customHeight="1" ht="16.5">
      <c r="A821" s="30"/>
      <c r="B821" s="30"/>
      <c r="C821" s="71"/>
      <c r="D821" s="71"/>
      <c r="E821" s="71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x14ac:dyDescent="0.25" r="822" customHeight="1" ht="16.5">
      <c r="A822" s="30"/>
      <c r="B822" s="30"/>
      <c r="C822" s="71"/>
      <c r="D822" s="71"/>
      <c r="E822" s="71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x14ac:dyDescent="0.25" r="823" customHeight="1" ht="16.5">
      <c r="A823" s="30"/>
      <c r="B823" s="30"/>
      <c r="C823" s="71"/>
      <c r="D823" s="71"/>
      <c r="E823" s="71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x14ac:dyDescent="0.25" r="824" customHeight="1" ht="16.5">
      <c r="A824" s="30"/>
      <c r="B824" s="30"/>
      <c r="C824" s="71"/>
      <c r="D824" s="71"/>
      <c r="E824" s="71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x14ac:dyDescent="0.25" r="825" customHeight="1" ht="16.5">
      <c r="A825" s="30"/>
      <c r="B825" s="30"/>
      <c r="C825" s="71"/>
      <c r="D825" s="71"/>
      <c r="E825" s="71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x14ac:dyDescent="0.25" r="826" customHeight="1" ht="16.5">
      <c r="A826" s="30"/>
      <c r="B826" s="30"/>
      <c r="C826" s="71"/>
      <c r="D826" s="71"/>
      <c r="E826" s="71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x14ac:dyDescent="0.25" r="827" customHeight="1" ht="16.5">
      <c r="A827" s="30"/>
      <c r="B827" s="30"/>
      <c r="C827" s="71"/>
      <c r="D827" s="71"/>
      <c r="E827" s="71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x14ac:dyDescent="0.25" r="828" customHeight="1" ht="16.5">
      <c r="A828" s="30"/>
      <c r="B828" s="30"/>
      <c r="C828" s="71"/>
      <c r="D828" s="71"/>
      <c r="E828" s="71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x14ac:dyDescent="0.25" r="829" customHeight="1" ht="16.5">
      <c r="A829" s="30"/>
      <c r="B829" s="30"/>
      <c r="C829" s="71"/>
      <c r="D829" s="71"/>
      <c r="E829" s="71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x14ac:dyDescent="0.25" r="830" customHeight="1" ht="16.5">
      <c r="A830" s="30"/>
      <c r="B830" s="30"/>
      <c r="C830" s="71"/>
      <c r="D830" s="71"/>
      <c r="E830" s="71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x14ac:dyDescent="0.25" r="831" customHeight="1" ht="16.5">
      <c r="A831" s="30"/>
      <c r="B831" s="30"/>
      <c r="C831" s="71"/>
      <c r="D831" s="71"/>
      <c r="E831" s="71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x14ac:dyDescent="0.25" r="832" customHeight="1" ht="16.5">
      <c r="A832" s="30"/>
      <c r="B832" s="30"/>
      <c r="C832" s="71"/>
      <c r="D832" s="71"/>
      <c r="E832" s="71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x14ac:dyDescent="0.25" r="833" customHeight="1" ht="16.5">
      <c r="A833" s="30"/>
      <c r="B833" s="30"/>
      <c r="C833" s="71"/>
      <c r="D833" s="71"/>
      <c r="E833" s="71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x14ac:dyDescent="0.25" r="834" customHeight="1" ht="16.5">
      <c r="A834" s="30"/>
      <c r="B834" s="30"/>
      <c r="C834" s="71"/>
      <c r="D834" s="71"/>
      <c r="E834" s="71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x14ac:dyDescent="0.25" r="835" customHeight="1" ht="16.5">
      <c r="A835" s="30"/>
      <c r="B835" s="30"/>
      <c r="C835" s="71"/>
      <c r="D835" s="71"/>
      <c r="E835" s="71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x14ac:dyDescent="0.25" r="836" customHeight="1" ht="16.5">
      <c r="A836" s="30"/>
      <c r="B836" s="30"/>
      <c r="C836" s="71"/>
      <c r="D836" s="71"/>
      <c r="E836" s="71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x14ac:dyDescent="0.25" r="837" customHeight="1" ht="16.5">
      <c r="A837" s="30"/>
      <c r="B837" s="30"/>
      <c r="C837" s="71"/>
      <c r="D837" s="71"/>
      <c r="E837" s="71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x14ac:dyDescent="0.25" r="838" customHeight="1" ht="16.5">
      <c r="A838" s="30"/>
      <c r="B838" s="30"/>
      <c r="C838" s="71"/>
      <c r="D838" s="71"/>
      <c r="E838" s="71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x14ac:dyDescent="0.25" r="839" customHeight="1" ht="16.5">
      <c r="A839" s="30"/>
      <c r="B839" s="30"/>
      <c r="C839" s="71"/>
      <c r="D839" s="71"/>
      <c r="E839" s="71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x14ac:dyDescent="0.25" r="840" customHeight="1" ht="16.5">
      <c r="A840" s="30"/>
      <c r="B840" s="30"/>
      <c r="C840" s="71"/>
      <c r="D840" s="71"/>
      <c r="E840" s="71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x14ac:dyDescent="0.25" r="841" customHeight="1" ht="16.5">
      <c r="A841" s="30"/>
      <c r="B841" s="30"/>
      <c r="C841" s="71"/>
      <c r="D841" s="71"/>
      <c r="E841" s="71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x14ac:dyDescent="0.25" r="842" customHeight="1" ht="16.5">
      <c r="A842" s="30"/>
      <c r="B842" s="30"/>
      <c r="C842" s="71"/>
      <c r="D842" s="71"/>
      <c r="E842" s="71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x14ac:dyDescent="0.25" r="843" customHeight="1" ht="16.5">
      <c r="A843" s="30"/>
      <c r="B843" s="30"/>
      <c r="C843" s="71"/>
      <c r="D843" s="71"/>
      <c r="E843" s="71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x14ac:dyDescent="0.25" r="844" customHeight="1" ht="16.5">
      <c r="A844" s="30"/>
      <c r="B844" s="30"/>
      <c r="C844" s="71"/>
      <c r="D844" s="71"/>
      <c r="E844" s="71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x14ac:dyDescent="0.25" r="845" customHeight="1" ht="16.5">
      <c r="A845" s="30"/>
      <c r="B845" s="30"/>
      <c r="C845" s="71"/>
      <c r="D845" s="71"/>
      <c r="E845" s="71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x14ac:dyDescent="0.25" r="846" customHeight="1" ht="16.5">
      <c r="A846" s="30"/>
      <c r="B846" s="30"/>
      <c r="C846" s="71"/>
      <c r="D846" s="71"/>
      <c r="E846" s="71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x14ac:dyDescent="0.25" r="847" customHeight="1" ht="16.5">
      <c r="A847" s="30"/>
      <c r="B847" s="30"/>
      <c r="C847" s="71"/>
      <c r="D847" s="71"/>
      <c r="E847" s="71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x14ac:dyDescent="0.25" r="848" customHeight="1" ht="16.5">
      <c r="A848" s="30"/>
      <c r="B848" s="30"/>
      <c r="C848" s="71"/>
      <c r="D848" s="71"/>
      <c r="E848" s="71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x14ac:dyDescent="0.25" r="849" customHeight="1" ht="16.5">
      <c r="A849" s="30"/>
      <c r="B849" s="30"/>
      <c r="C849" s="71"/>
      <c r="D849" s="71"/>
      <c r="E849" s="71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x14ac:dyDescent="0.25" r="850" customHeight="1" ht="16.5">
      <c r="A850" s="30"/>
      <c r="B850" s="30"/>
      <c r="C850" s="71"/>
      <c r="D850" s="71"/>
      <c r="E850" s="71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x14ac:dyDescent="0.25" r="851" customHeight="1" ht="16.5">
      <c r="A851" s="30"/>
      <c r="B851" s="30"/>
      <c r="C851" s="71"/>
      <c r="D851" s="71"/>
      <c r="E851" s="71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x14ac:dyDescent="0.25" r="852" customHeight="1" ht="16.5">
      <c r="A852" s="30"/>
      <c r="B852" s="30"/>
      <c r="C852" s="71"/>
      <c r="D852" s="71"/>
      <c r="E852" s="71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x14ac:dyDescent="0.25" r="853" customHeight="1" ht="16.5">
      <c r="A853" s="30"/>
      <c r="B853" s="30"/>
      <c r="C853" s="71"/>
      <c r="D853" s="71"/>
      <c r="E853" s="71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x14ac:dyDescent="0.25" r="854" customHeight="1" ht="16.5">
      <c r="A854" s="30"/>
      <c r="B854" s="30"/>
      <c r="C854" s="71"/>
      <c r="D854" s="71"/>
      <c r="E854" s="71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x14ac:dyDescent="0.25" r="855" customHeight="1" ht="16.5">
      <c r="A855" s="30"/>
      <c r="B855" s="30"/>
      <c r="C855" s="71"/>
      <c r="D855" s="71"/>
      <c r="E855" s="71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x14ac:dyDescent="0.25" r="856" customHeight="1" ht="16.5">
      <c r="A856" s="30"/>
      <c r="B856" s="30"/>
      <c r="C856" s="71"/>
      <c r="D856" s="71"/>
      <c r="E856" s="71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x14ac:dyDescent="0.25" r="857" customHeight="1" ht="16.5">
      <c r="A857" s="30"/>
      <c r="B857" s="30"/>
      <c r="C857" s="71"/>
      <c r="D857" s="71"/>
      <c r="E857" s="71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x14ac:dyDescent="0.25" r="858" customHeight="1" ht="16.5">
      <c r="A858" s="30"/>
      <c r="B858" s="30"/>
      <c r="C858" s="71"/>
      <c r="D858" s="71"/>
      <c r="E858" s="71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x14ac:dyDescent="0.25" r="859" customHeight="1" ht="16.5">
      <c r="A859" s="30"/>
      <c r="B859" s="30"/>
      <c r="C859" s="71"/>
      <c r="D859" s="71"/>
      <c r="E859" s="71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x14ac:dyDescent="0.25" r="860" customHeight="1" ht="16.5">
      <c r="A860" s="30"/>
      <c r="B860" s="30"/>
      <c r="C860" s="71"/>
      <c r="D860" s="71"/>
      <c r="E860" s="71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x14ac:dyDescent="0.25" r="861" customHeight="1" ht="16.5">
      <c r="A861" s="30"/>
      <c r="B861" s="30"/>
      <c r="C861" s="71"/>
      <c r="D861" s="71"/>
      <c r="E861" s="71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x14ac:dyDescent="0.25" r="862" customHeight="1" ht="16.5">
      <c r="A862" s="30"/>
      <c r="B862" s="30"/>
      <c r="C862" s="71"/>
      <c r="D862" s="71"/>
      <c r="E862" s="71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x14ac:dyDescent="0.25" r="863" customHeight="1" ht="16.5">
      <c r="A863" s="30"/>
      <c r="B863" s="30"/>
      <c r="C863" s="71"/>
      <c r="D863" s="71"/>
      <c r="E863" s="71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x14ac:dyDescent="0.25" r="864" customHeight="1" ht="16.5">
      <c r="A864" s="30"/>
      <c r="B864" s="30"/>
      <c r="C864" s="71"/>
      <c r="D864" s="71"/>
      <c r="E864" s="71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x14ac:dyDescent="0.25" r="865" customHeight="1" ht="16.5">
      <c r="A865" s="30"/>
      <c r="B865" s="30"/>
      <c r="C865" s="71"/>
      <c r="D865" s="71"/>
      <c r="E865" s="71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x14ac:dyDescent="0.25" r="866" customHeight="1" ht="16.5">
      <c r="A866" s="30"/>
      <c r="B866" s="30"/>
      <c r="C866" s="71"/>
      <c r="D866" s="71"/>
      <c r="E866" s="71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x14ac:dyDescent="0.25" r="867" customHeight="1" ht="16.5">
      <c r="A867" s="30"/>
      <c r="B867" s="30"/>
      <c r="C867" s="71"/>
      <c r="D867" s="71"/>
      <c r="E867" s="71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x14ac:dyDescent="0.25" r="868" customHeight="1" ht="16.5">
      <c r="A868" s="30"/>
      <c r="B868" s="30"/>
      <c r="C868" s="71"/>
      <c r="D868" s="71"/>
      <c r="E868" s="71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x14ac:dyDescent="0.25" r="869" customHeight="1" ht="16.5">
      <c r="A869" s="30"/>
      <c r="B869" s="30"/>
      <c r="C869" s="71"/>
      <c r="D869" s="71"/>
      <c r="E869" s="71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x14ac:dyDescent="0.25" r="870" customHeight="1" ht="16.5">
      <c r="A870" s="30"/>
      <c r="B870" s="30"/>
      <c r="C870" s="71"/>
      <c r="D870" s="71"/>
      <c r="E870" s="71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x14ac:dyDescent="0.25" r="871" customHeight="1" ht="16.5">
      <c r="A871" s="30"/>
      <c r="B871" s="30"/>
      <c r="C871" s="71"/>
      <c r="D871" s="71"/>
      <c r="E871" s="71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x14ac:dyDescent="0.25" r="872" customHeight="1" ht="16.5">
      <c r="A872" s="30"/>
      <c r="B872" s="30"/>
      <c r="C872" s="71"/>
      <c r="D872" s="71"/>
      <c r="E872" s="71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x14ac:dyDescent="0.25" r="873" customHeight="1" ht="16.5">
      <c r="A873" s="30"/>
      <c r="B873" s="30"/>
      <c r="C873" s="71"/>
      <c r="D873" s="71"/>
      <c r="E873" s="71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x14ac:dyDescent="0.25" r="874" customHeight="1" ht="16.5">
      <c r="A874" s="30"/>
      <c r="B874" s="30"/>
      <c r="C874" s="71"/>
      <c r="D874" s="71"/>
      <c r="E874" s="71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x14ac:dyDescent="0.25" r="875" customHeight="1" ht="16.5">
      <c r="A875" s="30"/>
      <c r="B875" s="30"/>
      <c r="C875" s="71"/>
      <c r="D875" s="71"/>
      <c r="E875" s="71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x14ac:dyDescent="0.25" r="876" customHeight="1" ht="16.5">
      <c r="A876" s="30"/>
      <c r="B876" s="30"/>
      <c r="C876" s="71"/>
      <c r="D876" s="71"/>
      <c r="E876" s="71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x14ac:dyDescent="0.25" r="877" customHeight="1" ht="16.5">
      <c r="A877" s="30"/>
      <c r="B877" s="30"/>
      <c r="C877" s="71"/>
      <c r="D877" s="71"/>
      <c r="E877" s="71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x14ac:dyDescent="0.25" r="878" customHeight="1" ht="16.5">
      <c r="A878" s="30"/>
      <c r="B878" s="30"/>
      <c r="C878" s="71"/>
      <c r="D878" s="71"/>
      <c r="E878" s="71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x14ac:dyDescent="0.25" r="879" customHeight="1" ht="16.5">
      <c r="A879" s="30"/>
      <c r="B879" s="30"/>
      <c r="C879" s="71"/>
      <c r="D879" s="71"/>
      <c r="E879" s="71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x14ac:dyDescent="0.25" r="880" customHeight="1" ht="16.5">
      <c r="A880" s="30"/>
      <c r="B880" s="30"/>
      <c r="C880" s="71"/>
      <c r="D880" s="71"/>
      <c r="E880" s="71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x14ac:dyDescent="0.25" r="881" customHeight="1" ht="16.5">
      <c r="A881" s="30"/>
      <c r="B881" s="30"/>
      <c r="C881" s="71"/>
      <c r="D881" s="71"/>
      <c r="E881" s="71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x14ac:dyDescent="0.25" r="882" customHeight="1" ht="16.5">
      <c r="A882" s="30"/>
      <c r="B882" s="30"/>
      <c r="C882" s="71"/>
      <c r="D882" s="71"/>
      <c r="E882" s="71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x14ac:dyDescent="0.25" r="883" customHeight="1" ht="16.5">
      <c r="A883" s="30"/>
      <c r="B883" s="30"/>
      <c r="C883" s="71"/>
      <c r="D883" s="71"/>
      <c r="E883" s="71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x14ac:dyDescent="0.25" r="884" customHeight="1" ht="16.5">
      <c r="A884" s="30"/>
      <c r="B884" s="30"/>
      <c r="C884" s="71"/>
      <c r="D884" s="71"/>
      <c r="E884" s="71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x14ac:dyDescent="0.25" r="885" customHeight="1" ht="16.5">
      <c r="A885" s="30"/>
      <c r="B885" s="30"/>
      <c r="C885" s="71"/>
      <c r="D885" s="71"/>
      <c r="E885" s="71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x14ac:dyDescent="0.25" r="886" customHeight="1" ht="16.5">
      <c r="A886" s="30"/>
      <c r="B886" s="30"/>
      <c r="C886" s="71"/>
      <c r="D886" s="71"/>
      <c r="E886" s="71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x14ac:dyDescent="0.25" r="887" customHeight="1" ht="16.5">
      <c r="A887" s="30"/>
      <c r="B887" s="30"/>
      <c r="C887" s="71"/>
      <c r="D887" s="71"/>
      <c r="E887" s="71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x14ac:dyDescent="0.25" r="888" customHeight="1" ht="16.5">
      <c r="A888" s="30"/>
      <c r="B888" s="30"/>
      <c r="C888" s="71"/>
      <c r="D888" s="71"/>
      <c r="E888" s="71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x14ac:dyDescent="0.25" r="889" customHeight="1" ht="16.5">
      <c r="A889" s="30"/>
      <c r="B889" s="30"/>
      <c r="C889" s="71"/>
      <c r="D889" s="71"/>
      <c r="E889" s="71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x14ac:dyDescent="0.25" r="890" customHeight="1" ht="16.5">
      <c r="A890" s="30"/>
      <c r="B890" s="30"/>
      <c r="C890" s="71"/>
      <c r="D890" s="71"/>
      <c r="E890" s="71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x14ac:dyDescent="0.25" r="891" customHeight="1" ht="16.5">
      <c r="A891" s="30"/>
      <c r="B891" s="30"/>
      <c r="C891" s="71"/>
      <c r="D891" s="71"/>
      <c r="E891" s="71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x14ac:dyDescent="0.25" r="892" customHeight="1" ht="16.5">
      <c r="A892" s="30"/>
      <c r="B892" s="30"/>
      <c r="C892" s="71"/>
      <c r="D892" s="71"/>
      <c r="E892" s="71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x14ac:dyDescent="0.25" r="893" customHeight="1" ht="16.5">
      <c r="A893" s="30"/>
      <c r="B893" s="30"/>
      <c r="C893" s="71"/>
      <c r="D893" s="71"/>
      <c r="E893" s="71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x14ac:dyDescent="0.25" r="894" customHeight="1" ht="16.5">
      <c r="A894" s="30"/>
      <c r="B894" s="30"/>
      <c r="C894" s="71"/>
      <c r="D894" s="71"/>
      <c r="E894" s="71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x14ac:dyDescent="0.25" r="895" customHeight="1" ht="16.5">
      <c r="A895" s="30"/>
      <c r="B895" s="30"/>
      <c r="C895" s="71"/>
      <c r="D895" s="71"/>
      <c r="E895" s="71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x14ac:dyDescent="0.25" r="896" customHeight="1" ht="16.5">
      <c r="A896" s="30"/>
      <c r="B896" s="30"/>
      <c r="C896" s="71"/>
      <c r="D896" s="71"/>
      <c r="E896" s="71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x14ac:dyDescent="0.25" r="897" customHeight="1" ht="16.5">
      <c r="A897" s="30"/>
      <c r="B897" s="30"/>
      <c r="C897" s="71"/>
      <c r="D897" s="71"/>
      <c r="E897" s="71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x14ac:dyDescent="0.25" r="898" customHeight="1" ht="16.5">
      <c r="A898" s="30"/>
      <c r="B898" s="30"/>
      <c r="C898" s="71"/>
      <c r="D898" s="71"/>
      <c r="E898" s="71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x14ac:dyDescent="0.25" r="899" customHeight="1" ht="16.5">
      <c r="A899" s="30"/>
      <c r="B899" s="30"/>
      <c r="C899" s="71"/>
      <c r="D899" s="71"/>
      <c r="E899" s="71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x14ac:dyDescent="0.25" r="900" customHeight="1" ht="16.5">
      <c r="A900" s="30"/>
      <c r="B900" s="30"/>
      <c r="C900" s="71"/>
      <c r="D900" s="71"/>
      <c r="E900" s="71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x14ac:dyDescent="0.25" r="901" customHeight="1" ht="16.5">
      <c r="A901" s="30"/>
      <c r="B901" s="30"/>
      <c r="C901" s="71"/>
      <c r="D901" s="71"/>
      <c r="E901" s="71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x14ac:dyDescent="0.25" r="902" customHeight="1" ht="16.5">
      <c r="A902" s="30"/>
      <c r="B902" s="30"/>
      <c r="C902" s="71"/>
      <c r="D902" s="71"/>
      <c r="E902" s="71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x14ac:dyDescent="0.25" r="903" customHeight="1" ht="16.5">
      <c r="A903" s="30"/>
      <c r="B903" s="30"/>
      <c r="C903" s="71"/>
      <c r="D903" s="71"/>
      <c r="E903" s="71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x14ac:dyDescent="0.25" r="904" customHeight="1" ht="16.5">
      <c r="A904" s="30"/>
      <c r="B904" s="30"/>
      <c r="C904" s="71"/>
      <c r="D904" s="71"/>
      <c r="E904" s="71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x14ac:dyDescent="0.25" r="905" customHeight="1" ht="16.5">
      <c r="A905" s="30"/>
      <c r="B905" s="30"/>
      <c r="C905" s="71"/>
      <c r="D905" s="71"/>
      <c r="E905" s="71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x14ac:dyDescent="0.25" r="906" customHeight="1" ht="16.5">
      <c r="A906" s="30"/>
      <c r="B906" s="30"/>
      <c r="C906" s="71"/>
      <c r="D906" s="71"/>
      <c r="E906" s="71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x14ac:dyDescent="0.25" r="907" customHeight="1" ht="16.5">
      <c r="A907" s="30"/>
      <c r="B907" s="30"/>
      <c r="C907" s="71"/>
      <c r="D907" s="71"/>
      <c r="E907" s="71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x14ac:dyDescent="0.25" r="908" customHeight="1" ht="16.5">
      <c r="A908" s="30"/>
      <c r="B908" s="30"/>
      <c r="C908" s="71"/>
      <c r="D908" s="71"/>
      <c r="E908" s="71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x14ac:dyDescent="0.25" r="909" customHeight="1" ht="16.5">
      <c r="A909" s="30"/>
      <c r="B909" s="30"/>
      <c r="C909" s="71"/>
      <c r="D909" s="71"/>
      <c r="E909" s="71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x14ac:dyDescent="0.25" r="910" customHeight="1" ht="16.5">
      <c r="A910" s="30"/>
      <c r="B910" s="30"/>
      <c r="C910" s="71"/>
      <c r="D910" s="71"/>
      <c r="E910" s="71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x14ac:dyDescent="0.25" r="911" customHeight="1" ht="16.5">
      <c r="A911" s="30"/>
      <c r="B911" s="30"/>
      <c r="C911" s="71"/>
      <c r="D911" s="71"/>
      <c r="E911" s="71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x14ac:dyDescent="0.25" r="912" customHeight="1" ht="16.5">
      <c r="A912" s="30"/>
      <c r="B912" s="30"/>
      <c r="C912" s="71"/>
      <c r="D912" s="71"/>
      <c r="E912" s="71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x14ac:dyDescent="0.25" r="913" customHeight="1" ht="16.5">
      <c r="A913" s="30"/>
      <c r="B913" s="30"/>
      <c r="C913" s="71"/>
      <c r="D913" s="71"/>
      <c r="E913" s="71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x14ac:dyDescent="0.25" r="914" customHeight="1" ht="16.5">
      <c r="A914" s="30"/>
      <c r="B914" s="30"/>
      <c r="C914" s="71"/>
      <c r="D914" s="71"/>
      <c r="E914" s="71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x14ac:dyDescent="0.25" r="915" customHeight="1" ht="16.5">
      <c r="A915" s="30"/>
      <c r="B915" s="30"/>
      <c r="C915" s="71"/>
      <c r="D915" s="71"/>
      <c r="E915" s="71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x14ac:dyDescent="0.25" r="916" customHeight="1" ht="16.5">
      <c r="A916" s="30"/>
      <c r="B916" s="30"/>
      <c r="C916" s="71"/>
      <c r="D916" s="71"/>
      <c r="E916" s="71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x14ac:dyDescent="0.25" r="917" customHeight="1" ht="16.5">
      <c r="A917" s="30"/>
      <c r="B917" s="30"/>
      <c r="C917" s="71"/>
      <c r="D917" s="71"/>
      <c r="E917" s="71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x14ac:dyDescent="0.25" r="918" customHeight="1" ht="16.5">
      <c r="A918" s="30"/>
      <c r="B918" s="30"/>
      <c r="C918" s="71"/>
      <c r="D918" s="71"/>
      <c r="E918" s="71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x14ac:dyDescent="0.25" r="919" customHeight="1" ht="16.5">
      <c r="A919" s="30"/>
      <c r="B919" s="30"/>
      <c r="C919" s="71"/>
      <c r="D919" s="71"/>
      <c r="E919" s="71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x14ac:dyDescent="0.25" r="920" customHeight="1" ht="16.5">
      <c r="A920" s="30"/>
      <c r="B920" s="30"/>
      <c r="C920" s="71"/>
      <c r="D920" s="71"/>
      <c r="E920" s="71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x14ac:dyDescent="0.25" r="921" customHeight="1" ht="16.5">
      <c r="A921" s="30"/>
      <c r="B921" s="30"/>
      <c r="C921" s="71"/>
      <c r="D921" s="71"/>
      <c r="E921" s="71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x14ac:dyDescent="0.25" r="922" customHeight="1" ht="16.5">
      <c r="A922" s="30"/>
      <c r="B922" s="30"/>
      <c r="C922" s="71"/>
      <c r="D922" s="71"/>
      <c r="E922" s="71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x14ac:dyDescent="0.25" r="923" customHeight="1" ht="16.5">
      <c r="A923" s="30"/>
      <c r="B923" s="30"/>
      <c r="C923" s="71"/>
      <c r="D923" s="71"/>
      <c r="E923" s="71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x14ac:dyDescent="0.25" r="924" customHeight="1" ht="16.5">
      <c r="A924" s="30"/>
      <c r="B924" s="30"/>
      <c r="C924" s="71"/>
      <c r="D924" s="71"/>
      <c r="E924" s="71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x14ac:dyDescent="0.25" r="925" customHeight="1" ht="16.5">
      <c r="A925" s="30"/>
      <c r="B925" s="30"/>
      <c r="C925" s="71"/>
      <c r="D925" s="71"/>
      <c r="E925" s="71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x14ac:dyDescent="0.25" r="926" customHeight="1" ht="16.5">
      <c r="A926" s="30"/>
      <c r="B926" s="30"/>
      <c r="C926" s="71"/>
      <c r="D926" s="71"/>
      <c r="E926" s="71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x14ac:dyDescent="0.25" r="927" customHeight="1" ht="16.5">
      <c r="A927" s="30"/>
      <c r="B927" s="30"/>
      <c r="C927" s="71"/>
      <c r="D927" s="71"/>
      <c r="E927" s="71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x14ac:dyDescent="0.25" r="928" customHeight="1" ht="16.5">
      <c r="A928" s="30"/>
      <c r="B928" s="30"/>
      <c r="C928" s="71"/>
      <c r="D928" s="71"/>
      <c r="E928" s="71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x14ac:dyDescent="0.25" r="929" customHeight="1" ht="16.5">
      <c r="A929" s="30"/>
      <c r="B929" s="30"/>
      <c r="C929" s="71"/>
      <c r="D929" s="71"/>
      <c r="E929" s="71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x14ac:dyDescent="0.25" r="930" customHeight="1" ht="16.5">
      <c r="A930" s="30"/>
      <c r="B930" s="30"/>
      <c r="C930" s="71"/>
      <c r="D930" s="71"/>
      <c r="E930" s="71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x14ac:dyDescent="0.25" r="931" customHeight="1" ht="16.5">
      <c r="A931" s="30"/>
      <c r="B931" s="30"/>
      <c r="C931" s="71"/>
      <c r="D931" s="71"/>
      <c r="E931" s="71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x14ac:dyDescent="0.25" r="932" customHeight="1" ht="16.5">
      <c r="A932" s="30"/>
      <c r="B932" s="30"/>
      <c r="C932" s="71"/>
      <c r="D932" s="71"/>
      <c r="E932" s="71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x14ac:dyDescent="0.25" r="933" customHeight="1" ht="16.5">
      <c r="A933" s="30"/>
      <c r="B933" s="30"/>
      <c r="C933" s="71"/>
      <c r="D933" s="71"/>
      <c r="E933" s="71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x14ac:dyDescent="0.25" r="934" customHeight="1" ht="16.5">
      <c r="A934" s="30"/>
      <c r="B934" s="30"/>
      <c r="C934" s="71"/>
      <c r="D934" s="71"/>
      <c r="E934" s="71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x14ac:dyDescent="0.25" r="935" customHeight="1" ht="16.5">
      <c r="A935" s="30"/>
      <c r="B935" s="30"/>
      <c r="C935" s="71"/>
      <c r="D935" s="71"/>
      <c r="E935" s="71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x14ac:dyDescent="0.25" r="936" customHeight="1" ht="16.5">
      <c r="A936" s="30"/>
      <c r="B936" s="30"/>
      <c r="C936" s="71"/>
      <c r="D936" s="71"/>
      <c r="E936" s="71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x14ac:dyDescent="0.25" r="937" customHeight="1" ht="16.5">
      <c r="A937" s="30"/>
      <c r="B937" s="30"/>
      <c r="C937" s="71"/>
      <c r="D937" s="71"/>
      <c r="E937" s="71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x14ac:dyDescent="0.25" r="938" customHeight="1" ht="16.5">
      <c r="A938" s="30"/>
      <c r="B938" s="30"/>
      <c r="C938" s="71"/>
      <c r="D938" s="71"/>
      <c r="E938" s="71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x14ac:dyDescent="0.25" r="939" customHeight="1" ht="16.5">
      <c r="A939" s="30"/>
      <c r="B939" s="30"/>
      <c r="C939" s="71"/>
      <c r="D939" s="71"/>
      <c r="E939" s="71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x14ac:dyDescent="0.25" r="940" customHeight="1" ht="16.5">
      <c r="A940" s="30"/>
      <c r="B940" s="30"/>
      <c r="C940" s="71"/>
      <c r="D940" s="71"/>
      <c r="E940" s="71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x14ac:dyDescent="0.25" r="941" customHeight="1" ht="16.5">
      <c r="A941" s="30"/>
      <c r="B941" s="30"/>
      <c r="C941" s="71"/>
      <c r="D941" s="71"/>
      <c r="E941" s="71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x14ac:dyDescent="0.25" r="942" customHeight="1" ht="16.5">
      <c r="A942" s="30"/>
      <c r="B942" s="30"/>
      <c r="C942" s="71"/>
      <c r="D942" s="71"/>
      <c r="E942" s="71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x14ac:dyDescent="0.25" r="943" customHeight="1" ht="16.5">
      <c r="A943" s="30"/>
      <c r="B943" s="30"/>
      <c r="C943" s="71"/>
      <c r="D943" s="71"/>
      <c r="E943" s="71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x14ac:dyDescent="0.25" r="944" customHeight="1" ht="16.5">
      <c r="A944" s="30"/>
      <c r="B944" s="30"/>
      <c r="C944" s="71"/>
      <c r="D944" s="71"/>
      <c r="E944" s="71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x14ac:dyDescent="0.25" r="945" customHeight="1" ht="16.5">
      <c r="A945" s="30"/>
      <c r="B945" s="30"/>
      <c r="C945" s="71"/>
      <c r="D945" s="71"/>
      <c r="E945" s="71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x14ac:dyDescent="0.25" r="946" customHeight="1" ht="16.5">
      <c r="A946" s="30"/>
      <c r="B946" s="30"/>
      <c r="C946" s="71"/>
      <c r="D946" s="71"/>
      <c r="E946" s="71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x14ac:dyDescent="0.25" r="947" customHeight="1" ht="16.5">
      <c r="A947" s="30"/>
      <c r="B947" s="30"/>
      <c r="C947" s="71"/>
      <c r="D947" s="71"/>
      <c r="E947" s="71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x14ac:dyDescent="0.25" r="948" customHeight="1" ht="16.5">
      <c r="A948" s="30"/>
      <c r="B948" s="30"/>
      <c r="C948" s="71"/>
      <c r="D948" s="71"/>
      <c r="E948" s="71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x14ac:dyDescent="0.25" r="949" customHeight="1" ht="16.5">
      <c r="A949" s="30"/>
      <c r="B949" s="30"/>
      <c r="C949" s="71"/>
      <c r="D949" s="71"/>
      <c r="E949" s="71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x14ac:dyDescent="0.25" r="950" customHeight="1" ht="16.5">
      <c r="A950" s="30"/>
      <c r="B950" s="30"/>
      <c r="C950" s="71"/>
      <c r="D950" s="71"/>
      <c r="E950" s="71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x14ac:dyDescent="0.25" r="951" customHeight="1" ht="16.5">
      <c r="A951" s="30"/>
      <c r="B951" s="30"/>
      <c r="C951" s="71"/>
      <c r="D951" s="71"/>
      <c r="E951" s="71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x14ac:dyDescent="0.25" r="952" customHeight="1" ht="16.5">
      <c r="A952" s="30"/>
      <c r="B952" s="30"/>
      <c r="C952" s="71"/>
      <c r="D952" s="71"/>
      <c r="E952" s="71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x14ac:dyDescent="0.25" r="953" customHeight="1" ht="16.5">
      <c r="A953" s="30"/>
      <c r="B953" s="30"/>
      <c r="C953" s="71"/>
      <c r="D953" s="71"/>
      <c r="E953" s="71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x14ac:dyDescent="0.25" r="954" customHeight="1" ht="16.5">
      <c r="A954" s="30"/>
      <c r="B954" s="30"/>
      <c r="C954" s="71"/>
      <c r="D954" s="71"/>
      <c r="E954" s="71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x14ac:dyDescent="0.25" r="955" customHeight="1" ht="16.5">
      <c r="A955" s="30"/>
      <c r="B955" s="30"/>
      <c r="C955" s="71"/>
      <c r="D955" s="71"/>
      <c r="E955" s="71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x14ac:dyDescent="0.25" r="956" customHeight="1" ht="16.5">
      <c r="A956" s="30"/>
      <c r="B956" s="30"/>
      <c r="C956" s="71"/>
      <c r="D956" s="71"/>
      <c r="E956" s="71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x14ac:dyDescent="0.25" r="957" customHeight="1" ht="16.5">
      <c r="A957" s="30"/>
      <c r="B957" s="30"/>
      <c r="C957" s="71"/>
      <c r="D957" s="71"/>
      <c r="E957" s="71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x14ac:dyDescent="0.25" r="958" customHeight="1" ht="16.5">
      <c r="A958" s="30"/>
      <c r="B958" s="30"/>
      <c r="C958" s="71"/>
      <c r="D958" s="71"/>
      <c r="E958" s="71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x14ac:dyDescent="0.25" r="959" customHeight="1" ht="16.5">
      <c r="A959" s="30"/>
      <c r="B959" s="30"/>
      <c r="C959" s="71"/>
      <c r="D959" s="71"/>
      <c r="E959" s="71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x14ac:dyDescent="0.25" r="960" customHeight="1" ht="16.5">
      <c r="A960" s="30"/>
      <c r="B960" s="30"/>
      <c r="C960" s="71"/>
      <c r="D960" s="71"/>
      <c r="E960" s="71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x14ac:dyDescent="0.25" r="961" customHeight="1" ht="16.5">
      <c r="A961" s="30"/>
      <c r="B961" s="30"/>
      <c r="C961" s="71"/>
      <c r="D961" s="71"/>
      <c r="E961" s="71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x14ac:dyDescent="0.25" r="962" customHeight="1" ht="16.5">
      <c r="A962" s="30"/>
      <c r="B962" s="30"/>
      <c r="C962" s="71"/>
      <c r="D962" s="71"/>
      <c r="E962" s="71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x14ac:dyDescent="0.25" r="963" customHeight="1" ht="16.5">
      <c r="A963" s="30"/>
      <c r="B963" s="30"/>
      <c r="C963" s="71"/>
      <c r="D963" s="71"/>
      <c r="E963" s="71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x14ac:dyDescent="0.25" r="964" customHeight="1" ht="16.5">
      <c r="A964" s="30"/>
      <c r="B964" s="30"/>
      <c r="C964" s="71"/>
      <c r="D964" s="71"/>
      <c r="E964" s="71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x14ac:dyDescent="0.25" r="965" customHeight="1" ht="16.5">
      <c r="A965" s="30"/>
      <c r="B965" s="30"/>
      <c r="C965" s="71"/>
      <c r="D965" s="71"/>
      <c r="E965" s="71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x14ac:dyDescent="0.25" r="966" customHeight="1" ht="16.5">
      <c r="A966" s="30"/>
      <c r="B966" s="30"/>
      <c r="C966" s="71"/>
      <c r="D966" s="71"/>
      <c r="E966" s="71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x14ac:dyDescent="0.25" r="967" customHeight="1" ht="16.5">
      <c r="A967" s="30"/>
      <c r="B967" s="30"/>
      <c r="C967" s="71"/>
      <c r="D967" s="71"/>
      <c r="E967" s="71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x14ac:dyDescent="0.25" r="968" customHeight="1" ht="16.5">
      <c r="A968" s="30"/>
      <c r="B968" s="30"/>
      <c r="C968" s="71"/>
      <c r="D968" s="71"/>
      <c r="E968" s="71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x14ac:dyDescent="0.25" r="969" customHeight="1" ht="16.5">
      <c r="A969" s="30"/>
      <c r="B969" s="30"/>
      <c r="C969" s="71"/>
      <c r="D969" s="71"/>
      <c r="E969" s="71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x14ac:dyDescent="0.25" r="970" customHeight="1" ht="16.5">
      <c r="A970" s="30"/>
      <c r="B970" s="30"/>
      <c r="C970" s="71"/>
      <c r="D970" s="71"/>
      <c r="E970" s="71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x14ac:dyDescent="0.25" r="971" customHeight="1" ht="16.5">
      <c r="A971" s="30"/>
      <c r="B971" s="30"/>
      <c r="C971" s="71"/>
      <c r="D971" s="71"/>
      <c r="E971" s="71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x14ac:dyDescent="0.25" r="972" customHeight="1" ht="16.5">
      <c r="A972" s="30"/>
      <c r="B972" s="30"/>
      <c r="C972" s="71"/>
      <c r="D972" s="71"/>
      <c r="E972" s="71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x14ac:dyDescent="0.25" r="973" customHeight="1" ht="16.5">
      <c r="A973" s="30"/>
      <c r="B973" s="30"/>
      <c r="C973" s="71"/>
      <c r="D973" s="71"/>
      <c r="E973" s="71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x14ac:dyDescent="0.25" r="974" customHeight="1" ht="16.5">
      <c r="A974" s="30"/>
      <c r="B974" s="30"/>
      <c r="C974" s="71"/>
      <c r="D974" s="71"/>
      <c r="E974" s="71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x14ac:dyDescent="0.25" r="975" customHeight="1" ht="16.5">
      <c r="A975" s="30"/>
      <c r="B975" s="30"/>
      <c r="C975" s="71"/>
      <c r="D975" s="71"/>
      <c r="E975" s="71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x14ac:dyDescent="0.25" r="976" customHeight="1" ht="16.5">
      <c r="A976" s="30"/>
      <c r="B976" s="30"/>
      <c r="C976" s="71"/>
      <c r="D976" s="71"/>
      <c r="E976" s="71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x14ac:dyDescent="0.25" r="977" customHeight="1" ht="16.5">
      <c r="A977" s="30"/>
      <c r="B977" s="30"/>
      <c r="C977" s="71"/>
      <c r="D977" s="71"/>
      <c r="E977" s="71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x14ac:dyDescent="0.25" r="978" customHeight="1" ht="16.5">
      <c r="A978" s="30"/>
      <c r="B978" s="30"/>
      <c r="C978" s="71"/>
      <c r="D978" s="71"/>
      <c r="E978" s="71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x14ac:dyDescent="0.25" r="979" customHeight="1" ht="16.5">
      <c r="A979" s="30"/>
      <c r="B979" s="30"/>
      <c r="C979" s="71"/>
      <c r="D979" s="71"/>
      <c r="E979" s="71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x14ac:dyDescent="0.25" r="980" customHeight="1" ht="16.5">
      <c r="A980" s="30"/>
      <c r="B980" s="30"/>
      <c r="C980" s="71"/>
      <c r="D980" s="71"/>
      <c r="E980" s="71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x14ac:dyDescent="0.25" r="981" customHeight="1" ht="16.5">
      <c r="A981" s="30"/>
      <c r="B981" s="30"/>
      <c r="C981" s="71"/>
      <c r="D981" s="71"/>
      <c r="E981" s="71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x14ac:dyDescent="0.25" r="982" customHeight="1" ht="16.5">
      <c r="A982" s="30"/>
      <c r="B982" s="30"/>
      <c r="C982" s="71"/>
      <c r="D982" s="71"/>
      <c r="E982" s="71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x14ac:dyDescent="0.25" r="983" customHeight="1" ht="16.5">
      <c r="A983" s="30"/>
      <c r="B983" s="30"/>
      <c r="C983" s="71"/>
      <c r="D983" s="71"/>
      <c r="E983" s="71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x14ac:dyDescent="0.25" r="984" customHeight="1" ht="16.5">
      <c r="A984" s="30"/>
      <c r="B984" s="30"/>
      <c r="C984" s="71"/>
      <c r="D984" s="71"/>
      <c r="E984" s="71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x14ac:dyDescent="0.25" r="985" customHeight="1" ht="16.5">
      <c r="A985" s="30"/>
      <c r="B985" s="30"/>
      <c r="C985" s="71"/>
      <c r="D985" s="71"/>
      <c r="E985" s="71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x14ac:dyDescent="0.25" r="986" customHeight="1" ht="16.5">
      <c r="A986" s="30"/>
      <c r="B986" s="30"/>
      <c r="C986" s="71"/>
      <c r="D986" s="71"/>
      <c r="E986" s="71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x14ac:dyDescent="0.25" r="987" customHeight="1" ht="16.5">
      <c r="A987" s="30"/>
      <c r="B987" s="30"/>
      <c r="C987" s="71"/>
      <c r="D987" s="71"/>
      <c r="E987" s="71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x14ac:dyDescent="0.25" r="988" customHeight="1" ht="16.5">
      <c r="A988" s="30"/>
      <c r="B988" s="30"/>
      <c r="C988" s="71"/>
      <c r="D988" s="71"/>
      <c r="E988" s="71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x14ac:dyDescent="0.25" r="989" customHeight="1" ht="16.5">
      <c r="A989" s="30"/>
      <c r="B989" s="30"/>
      <c r="C989" s="71"/>
      <c r="D989" s="71"/>
      <c r="E989" s="71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x14ac:dyDescent="0.25" r="990" customHeight="1" ht="16.5">
      <c r="A990" s="30"/>
      <c r="B990" s="30"/>
      <c r="C990" s="71"/>
      <c r="D990" s="71"/>
      <c r="E990" s="71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x14ac:dyDescent="0.25" r="991" customHeight="1" ht="16.5">
      <c r="A991" s="30"/>
      <c r="B991" s="30"/>
      <c r="C991" s="71"/>
      <c r="D991" s="71"/>
      <c r="E991" s="71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x14ac:dyDescent="0.25" r="992" customHeight="1" ht="16.5">
      <c r="A992" s="30"/>
      <c r="B992" s="30"/>
      <c r="C992" s="71"/>
      <c r="D992" s="71"/>
      <c r="E992" s="71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x14ac:dyDescent="0.25" r="993" customHeight="1" ht="16.5">
      <c r="A993" s="30"/>
      <c r="B993" s="30"/>
      <c r="C993" s="71"/>
      <c r="D993" s="71"/>
      <c r="E993" s="71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x14ac:dyDescent="0.25" r="994" customHeight="1" ht="16.5">
      <c r="A994" s="30"/>
      <c r="B994" s="30"/>
      <c r="C994" s="71"/>
      <c r="D994" s="71"/>
      <c r="E994" s="71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x14ac:dyDescent="0.25" r="995" customHeight="1" ht="16.5">
      <c r="A995" s="30"/>
      <c r="B995" s="30"/>
      <c r="C995" s="71"/>
      <c r="D995" s="71"/>
      <c r="E995" s="71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x14ac:dyDescent="0.25" r="996" customHeight="1" ht="16.5">
      <c r="A996" s="30"/>
      <c r="B996" s="30"/>
      <c r="C996" s="71"/>
      <c r="D996" s="71"/>
      <c r="E996" s="71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x14ac:dyDescent="0.25" r="997" customHeight="1" ht="16.5">
      <c r="A997" s="30"/>
      <c r="B997" s="30"/>
      <c r="C997" s="71"/>
      <c r="D997" s="71"/>
      <c r="E997" s="71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x14ac:dyDescent="0.25" r="998" customHeight="1" ht="16.5">
      <c r="A998" s="30"/>
      <c r="B998" s="30"/>
      <c r="C998" s="71"/>
      <c r="D998" s="71"/>
      <c r="E998" s="71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</sheetData>
  <mergeCells count="3">
    <mergeCell ref="A1:B2"/>
    <mergeCell ref="A3:B3"/>
    <mergeCell ref="A41:B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42"/>
  <sheetViews>
    <sheetView workbookViewId="0"/>
  </sheetViews>
  <sheetFormatPr defaultRowHeight="15" x14ac:dyDescent="0.25"/>
  <cols>
    <col min="1" max="1" style="33" width="6.862142857142857" customWidth="1" bestFit="1"/>
    <col min="2" max="2" style="33" width="15.290714285714287" customWidth="1" bestFit="1"/>
    <col min="3" max="3" style="33" width="20.14785714285714" customWidth="1" bestFit="1"/>
    <col min="4" max="4" style="33" width="20.14785714285714" customWidth="1" bestFit="1"/>
    <col min="5" max="5" style="33" width="20.14785714285714" customWidth="1" bestFit="1"/>
    <col min="6" max="6" style="34" width="15.719285714285713" customWidth="1" bestFit="1"/>
    <col min="7" max="7" style="33" width="12.147857142857141" customWidth="1" bestFit="1"/>
    <col min="8" max="8" style="55" width="9.862142857142858" customWidth="1" bestFit="1"/>
    <col min="9" max="9" style="35" width="13.576428571428572" customWidth="1" bestFit="1"/>
    <col min="10" max="10" style="35" width="13.576428571428572" customWidth="1" bestFit="1"/>
    <col min="11" max="11" style="35" width="13.576428571428572" customWidth="1" bestFit="1"/>
    <col min="12" max="12" style="35" width="13.576428571428572" customWidth="1" bestFit="1"/>
    <col min="13" max="13" style="35" width="13.576428571428572" customWidth="1" bestFit="1"/>
    <col min="14" max="14" style="35" width="13.576428571428572" customWidth="1" bestFit="1"/>
    <col min="15" max="15" style="35" width="13.576428571428572" customWidth="1" bestFit="1"/>
    <col min="16" max="16" style="35" width="13.576428571428572" customWidth="1" bestFit="1"/>
    <col min="17" max="17" style="35" width="13.576428571428572" customWidth="1" bestFit="1"/>
    <col min="18" max="18" style="35" width="13.576428571428572" customWidth="1" bestFit="1"/>
    <col min="19" max="19" style="35" width="13.576428571428572" customWidth="1" bestFit="1"/>
    <col min="20" max="20" style="35" width="13.576428571428572" customWidth="1" bestFit="1"/>
    <col min="21" max="21" style="35" width="13.576428571428572" customWidth="1" bestFit="1"/>
    <col min="22" max="22" style="35" width="13.576428571428572" customWidth="1" bestFit="1"/>
    <col min="23" max="23" style="35" width="13.576428571428572" customWidth="1" bestFit="1"/>
    <col min="24" max="24" style="35" width="13.576428571428572" customWidth="1" bestFit="1"/>
  </cols>
  <sheetData>
    <row x14ac:dyDescent="0.25" r="1" customHeight="1" ht="15">
      <c r="A1" s="1" t="s">
        <v>0</v>
      </c>
      <c r="B1" s="2"/>
      <c r="C1" s="2"/>
      <c r="D1" s="4"/>
      <c r="E1" s="4"/>
      <c r="F1" s="7"/>
      <c r="G1" s="30"/>
      <c r="H1" s="4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x14ac:dyDescent="0.25" r="2" customHeight="1" ht="15">
      <c r="A2" s="2"/>
      <c r="B2" s="2"/>
      <c r="C2" s="2"/>
      <c r="D2" s="9" t="s">
        <v>1</v>
      </c>
      <c r="E2" s="4"/>
      <c r="F2" s="6"/>
      <c r="G2" s="30"/>
      <c r="H2" s="4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x14ac:dyDescent="0.25" r="3" customHeight="1" ht="32.25">
      <c r="A3" s="10" t="s">
        <v>18</v>
      </c>
      <c r="B3" s="10"/>
      <c r="C3" s="12"/>
      <c r="D3" s="12"/>
      <c r="E3" s="12"/>
      <c r="F3" s="13"/>
      <c r="G3" s="40"/>
      <c r="H3" s="1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x14ac:dyDescent="0.25" r="4" customHeight="1" ht="20.25">
      <c r="A4" s="47" t="s">
        <v>3</v>
      </c>
      <c r="B4" s="48" t="s">
        <v>4</v>
      </c>
      <c r="C4" s="49" t="s">
        <v>19</v>
      </c>
      <c r="D4" s="49" t="s">
        <v>20</v>
      </c>
      <c r="E4" s="47" t="s">
        <v>21</v>
      </c>
      <c r="F4" s="41" t="s">
        <v>8</v>
      </c>
      <c r="G4" s="42" t="s">
        <v>17</v>
      </c>
      <c r="H4" s="14" t="s">
        <v>10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x14ac:dyDescent="0.25" r="5" customHeight="1" ht="15">
      <c r="A5" s="28">
        <v>1</v>
      </c>
      <c r="B5" s="17">
        <v>22222175</v>
      </c>
      <c r="C5" s="13">
        <v>6.5</v>
      </c>
      <c r="D5" s="22">
        <v>5</v>
      </c>
      <c r="E5" s="23">
        <f>C5+D5</f>
      </c>
      <c r="F5" s="43">
        <v>0</v>
      </c>
      <c r="G5" s="44">
        <v>0</v>
      </c>
      <c r="H5" s="24">
        <f>F5+G5</f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x14ac:dyDescent="0.25" r="6" customHeight="1" ht="15">
      <c r="A6" s="28">
        <v>2</v>
      </c>
      <c r="B6" s="21">
        <v>22122220</v>
      </c>
      <c r="C6" s="22">
        <v>7</v>
      </c>
      <c r="D6" s="22">
        <v>8</v>
      </c>
      <c r="E6" s="26">
        <f>C6+D6</f>
      </c>
      <c r="F6" s="43">
        <v>1.5</v>
      </c>
      <c r="G6" s="44">
        <v>0</v>
      </c>
      <c r="H6" s="24">
        <f>F6+G6</f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x14ac:dyDescent="0.25" r="7" customHeight="1" ht="15">
      <c r="A7" s="28">
        <v>3</v>
      </c>
      <c r="B7" s="21">
        <v>22222224</v>
      </c>
      <c r="C7" s="13">
        <v>7.5</v>
      </c>
      <c r="D7" s="22">
        <v>5</v>
      </c>
      <c r="E7" s="23">
        <f>C7+D7</f>
      </c>
      <c r="F7" s="43">
        <v>4</v>
      </c>
      <c r="G7" s="43">
        <v>3.5</v>
      </c>
      <c r="H7" s="24">
        <f>F7+G7</f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x14ac:dyDescent="0.25" r="8" customHeight="1" ht="15">
      <c r="A8" s="28">
        <v>4</v>
      </c>
      <c r="B8" s="21">
        <v>22222218</v>
      </c>
      <c r="C8" s="13">
        <v>5.5</v>
      </c>
      <c r="D8" s="13">
        <v>6.5</v>
      </c>
      <c r="E8" s="26">
        <f>C8+D8</f>
      </c>
      <c r="F8" s="43">
        <v>3.25</v>
      </c>
      <c r="G8" s="44">
        <v>2</v>
      </c>
      <c r="H8" s="24">
        <f>F8+G8</f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x14ac:dyDescent="0.25" r="9" customHeight="1" ht="15">
      <c r="A9" s="28">
        <v>5</v>
      </c>
      <c r="B9" s="21">
        <v>22222171</v>
      </c>
      <c r="C9" s="22">
        <v>3</v>
      </c>
      <c r="D9" s="13">
        <v>6.5</v>
      </c>
      <c r="E9" s="23">
        <f>C9+D9</f>
      </c>
      <c r="F9" s="43">
        <v>0.25</v>
      </c>
      <c r="G9" s="44">
        <v>0</v>
      </c>
      <c r="H9" s="24">
        <f>F9+G9</f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x14ac:dyDescent="0.25" r="10" customHeight="1" ht="15">
      <c r="A10" s="28">
        <v>6</v>
      </c>
      <c r="B10" s="21">
        <v>22222216</v>
      </c>
      <c r="C10" s="13">
        <v>4.5</v>
      </c>
      <c r="D10" s="22">
        <v>5</v>
      </c>
      <c r="E10" s="23">
        <f>C10+D10</f>
      </c>
      <c r="F10" s="43">
        <v>3.75</v>
      </c>
      <c r="G10" s="44">
        <v>0</v>
      </c>
      <c r="H10" s="24">
        <f>F10+G10</f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x14ac:dyDescent="0.25" r="11" customHeight="1" ht="15">
      <c r="A11" s="28">
        <v>7</v>
      </c>
      <c r="B11" s="21">
        <v>22222233</v>
      </c>
      <c r="C11" s="50">
        <v>7.5</v>
      </c>
      <c r="D11" s="51">
        <v>8</v>
      </c>
      <c r="E11" s="23">
        <f>C11+D11</f>
      </c>
      <c r="F11" s="43">
        <v>4.75</v>
      </c>
      <c r="G11" s="43">
        <v>2.75</v>
      </c>
      <c r="H11" s="24">
        <f>F11+G11</f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x14ac:dyDescent="0.25" r="12" customHeight="1" ht="15">
      <c r="A12" s="28">
        <v>8</v>
      </c>
      <c r="B12" s="21">
        <v>22222238</v>
      </c>
      <c r="C12" s="13">
        <v>4.5</v>
      </c>
      <c r="D12" s="22">
        <v>5</v>
      </c>
      <c r="E12" s="23">
        <f>C12+D12</f>
      </c>
      <c r="F12" s="43">
        <v>3.5</v>
      </c>
      <c r="G12" s="44">
        <v>0</v>
      </c>
      <c r="H12" s="24">
        <f>F12+G12</f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x14ac:dyDescent="0.25" r="13" customHeight="1" ht="15">
      <c r="A13" s="28">
        <v>9</v>
      </c>
      <c r="B13" s="21">
        <v>22222243</v>
      </c>
      <c r="C13" s="22">
        <v>5</v>
      </c>
      <c r="D13" s="13">
        <v>6.5</v>
      </c>
      <c r="E13" s="23">
        <f>C13+D13</f>
      </c>
      <c r="F13" s="43">
        <v>2.25</v>
      </c>
      <c r="G13" s="44">
        <v>2</v>
      </c>
      <c r="H13" s="24">
        <f>F13+G13</f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x14ac:dyDescent="0.25" r="14" customHeight="1" ht="15">
      <c r="A14" s="28">
        <v>10</v>
      </c>
      <c r="B14" s="21">
        <v>22222226</v>
      </c>
      <c r="C14" s="13">
        <v>4.5</v>
      </c>
      <c r="D14" s="13">
        <v>6.5</v>
      </c>
      <c r="E14" s="26">
        <f>C14+D14</f>
      </c>
      <c r="F14" s="43">
        <v>5</v>
      </c>
      <c r="G14" s="43">
        <v>1.75</v>
      </c>
      <c r="H14" s="24">
        <f>F14+G14</f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x14ac:dyDescent="0.25" r="15" customHeight="1" ht="15">
      <c r="A15" s="28">
        <v>11</v>
      </c>
      <c r="B15" s="21">
        <v>22222181</v>
      </c>
      <c r="C15" s="13">
        <v>4.5</v>
      </c>
      <c r="D15" s="22">
        <v>8</v>
      </c>
      <c r="E15" s="23">
        <f>C15+D15</f>
      </c>
      <c r="F15" s="43">
        <v>3.5</v>
      </c>
      <c r="G15" s="44">
        <v>4</v>
      </c>
      <c r="H15" s="24">
        <f>F15+G15</f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x14ac:dyDescent="0.25" r="16" customHeight="1" ht="15">
      <c r="A16" s="28">
        <v>12</v>
      </c>
      <c r="B16" s="21">
        <v>22222242</v>
      </c>
      <c r="C16" s="13">
        <v>3.5</v>
      </c>
      <c r="D16" s="22">
        <v>5</v>
      </c>
      <c r="E16" s="23">
        <f>C16+D16</f>
      </c>
      <c r="F16" s="43">
        <v>1.25</v>
      </c>
      <c r="G16" s="44">
        <v>0</v>
      </c>
      <c r="H16" s="24">
        <f>F16+G16</f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x14ac:dyDescent="0.25" r="17" customHeight="1" ht="15">
      <c r="A17" s="28">
        <v>13</v>
      </c>
      <c r="B17" s="21">
        <v>22222229</v>
      </c>
      <c r="C17" s="22">
        <v>5</v>
      </c>
      <c r="D17" s="13">
        <v>9.5</v>
      </c>
      <c r="E17" s="23">
        <f>C17+D17</f>
      </c>
      <c r="F17" s="43">
        <v>5</v>
      </c>
      <c r="G17" s="43">
        <v>2.75</v>
      </c>
      <c r="H17" s="24">
        <f>F17+G17</f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x14ac:dyDescent="0.25" r="18" customHeight="1" ht="15">
      <c r="A18" s="28">
        <v>14</v>
      </c>
      <c r="B18" s="21">
        <v>22222244</v>
      </c>
      <c r="C18" s="22">
        <v>7</v>
      </c>
      <c r="D18" s="13">
        <v>1.5</v>
      </c>
      <c r="E18" s="23">
        <f>C18+D18</f>
      </c>
      <c r="F18" s="43">
        <v>5.5</v>
      </c>
      <c r="G18" s="44">
        <v>1</v>
      </c>
      <c r="H18" s="24">
        <f>F18+G18</f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x14ac:dyDescent="0.25" r="19" customHeight="1" ht="15">
      <c r="A19" s="28">
        <v>15</v>
      </c>
      <c r="B19" s="21">
        <v>22222180</v>
      </c>
      <c r="C19" s="22">
        <v>4</v>
      </c>
      <c r="D19" s="13">
        <v>9.5</v>
      </c>
      <c r="E19" s="23">
        <f>C19+D19</f>
      </c>
      <c r="F19" s="13">
        <v>2.75</v>
      </c>
      <c r="G19" s="13">
        <v>3.25</v>
      </c>
      <c r="H19" s="24">
        <f>F19+G19</f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x14ac:dyDescent="0.25" r="20" customHeight="1" ht="15">
      <c r="A20" s="28">
        <v>16</v>
      </c>
      <c r="B20" s="21">
        <v>22222222</v>
      </c>
      <c r="C20" s="13">
        <v>6.5</v>
      </c>
      <c r="D20" s="22">
        <v>5</v>
      </c>
      <c r="E20" s="23">
        <f>C20+D20</f>
      </c>
      <c r="F20" s="43">
        <v>4.25</v>
      </c>
      <c r="G20" s="43">
        <v>1.5</v>
      </c>
      <c r="H20" s="24">
        <f>F20+G20</f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x14ac:dyDescent="0.25" r="21" customHeight="1" ht="15">
      <c r="A21" s="28">
        <v>17</v>
      </c>
      <c r="B21" s="21">
        <v>22222221</v>
      </c>
      <c r="C21" s="13">
        <v>6.5</v>
      </c>
      <c r="D21" s="22">
        <v>8</v>
      </c>
      <c r="E21" s="23">
        <f>C21+D21</f>
      </c>
      <c r="F21" s="43">
        <v>3.75</v>
      </c>
      <c r="G21" s="43">
        <v>3.5</v>
      </c>
      <c r="H21" s="24">
        <f>F21+G21</f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x14ac:dyDescent="0.25" r="22" customHeight="1" ht="15">
      <c r="A22" s="28">
        <v>18</v>
      </c>
      <c r="B22" s="21">
        <v>22222227</v>
      </c>
      <c r="C22" s="22">
        <v>5</v>
      </c>
      <c r="D22" s="22">
        <v>10</v>
      </c>
      <c r="E22" s="26">
        <f>C22+D22</f>
      </c>
      <c r="F22" s="43">
        <v>1.5</v>
      </c>
      <c r="G22" s="43">
        <v>4.5</v>
      </c>
      <c r="H22" s="24">
        <f>F22+G22</f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x14ac:dyDescent="0.25" r="23" customHeight="1" ht="15">
      <c r="A23" s="28">
        <v>19</v>
      </c>
      <c r="B23" s="21">
        <v>22222228</v>
      </c>
      <c r="C23" s="22">
        <v>6</v>
      </c>
      <c r="D23" s="22">
        <v>5</v>
      </c>
      <c r="E23" s="26">
        <f>C23+D23</f>
      </c>
      <c r="F23" s="43">
        <v>2.5</v>
      </c>
      <c r="G23" s="43">
        <v>2.5</v>
      </c>
      <c r="H23" s="24">
        <f>F23+G23</f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x14ac:dyDescent="0.25" r="24" customHeight="1" ht="15">
      <c r="A24" s="28">
        <v>20</v>
      </c>
      <c r="B24" s="21">
        <v>22222241</v>
      </c>
      <c r="C24" s="13">
        <v>5.5</v>
      </c>
      <c r="D24" s="22">
        <v>0</v>
      </c>
      <c r="E24" s="23">
        <f>C24+D24</f>
      </c>
      <c r="F24" s="43">
        <v>4</v>
      </c>
      <c r="G24" s="44">
        <v>0</v>
      </c>
      <c r="H24" s="24">
        <f>F24+G24</f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x14ac:dyDescent="0.25" r="25" customHeight="1" ht="15">
      <c r="A25" s="28">
        <v>21</v>
      </c>
      <c r="B25" s="21">
        <v>22122204</v>
      </c>
      <c r="C25" s="22">
        <v>3</v>
      </c>
      <c r="D25" s="22">
        <v>5</v>
      </c>
      <c r="E25" s="26">
        <f>C25+D25</f>
      </c>
      <c r="F25" s="43">
        <v>0</v>
      </c>
      <c r="G25" s="44">
        <v>0</v>
      </c>
      <c r="H25" s="24">
        <f>F25+G25</f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x14ac:dyDescent="0.25" r="26" customHeight="1" ht="15">
      <c r="A26" s="28">
        <v>22</v>
      </c>
      <c r="B26" s="21">
        <v>22222172</v>
      </c>
      <c r="C26" s="13">
        <v>6.5</v>
      </c>
      <c r="D26" s="22">
        <v>0</v>
      </c>
      <c r="E26" s="23">
        <f>C26+D26</f>
      </c>
      <c r="F26" s="43">
        <v>5.5</v>
      </c>
      <c r="G26" s="43">
        <v>0.5</v>
      </c>
      <c r="H26" s="24">
        <f>F26+G26</f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x14ac:dyDescent="0.25" r="27" customHeight="1" ht="15">
      <c r="A27" s="28">
        <v>23</v>
      </c>
      <c r="B27" s="21">
        <v>22222232</v>
      </c>
      <c r="C27" s="13">
        <v>6.5</v>
      </c>
      <c r="D27" s="22">
        <v>5</v>
      </c>
      <c r="E27" s="23">
        <f>C27+D27</f>
      </c>
      <c r="F27" s="43">
        <v>3.75</v>
      </c>
      <c r="G27" s="43">
        <v>0.25</v>
      </c>
      <c r="H27" s="24">
        <f>F27+G27</f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x14ac:dyDescent="0.25" r="28" customHeight="1" ht="15">
      <c r="A28" s="28">
        <v>24</v>
      </c>
      <c r="B28" s="21">
        <v>22222245</v>
      </c>
      <c r="C28" s="22">
        <v>4</v>
      </c>
      <c r="D28" s="13">
        <v>6.5</v>
      </c>
      <c r="E28" s="23">
        <f>C28+D28</f>
      </c>
      <c r="F28" s="43">
        <v>0.25</v>
      </c>
      <c r="G28" s="43">
        <v>0.25</v>
      </c>
      <c r="H28" s="24">
        <f>F28+G28</f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x14ac:dyDescent="0.25" r="29" customHeight="1" ht="15">
      <c r="A29" s="28">
        <v>25</v>
      </c>
      <c r="B29" s="21">
        <v>22222236</v>
      </c>
      <c r="C29" s="22">
        <v>5</v>
      </c>
      <c r="D29" s="22">
        <v>5</v>
      </c>
      <c r="E29" s="26">
        <f>C29+D29</f>
      </c>
      <c r="F29" s="43">
        <v>2.5</v>
      </c>
      <c r="G29" s="44">
        <v>0</v>
      </c>
      <c r="H29" s="24">
        <f>F29+G29</f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x14ac:dyDescent="0.25" r="30" customHeight="1" ht="15">
      <c r="A30" s="28">
        <v>26</v>
      </c>
      <c r="B30" s="21">
        <v>22222178</v>
      </c>
      <c r="C30" s="22">
        <v>4</v>
      </c>
      <c r="D30" s="13">
        <v>2.5</v>
      </c>
      <c r="E30" s="23">
        <f>C30+D30</f>
      </c>
      <c r="F30" s="43">
        <v>0.5</v>
      </c>
      <c r="G30" s="44">
        <v>0</v>
      </c>
      <c r="H30" s="24">
        <f>F30+G30</f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x14ac:dyDescent="0.25" r="31" customHeight="1" ht="15">
      <c r="A31" s="28">
        <v>27</v>
      </c>
      <c r="B31" s="21">
        <v>22222234</v>
      </c>
      <c r="C31" s="13">
        <v>5.5</v>
      </c>
      <c r="D31" s="22">
        <v>5</v>
      </c>
      <c r="E31" s="23">
        <f>C31+D31</f>
      </c>
      <c r="F31" s="43">
        <v>1.5</v>
      </c>
      <c r="G31" s="44">
        <v>1</v>
      </c>
      <c r="H31" s="24">
        <f>F31+G31</f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x14ac:dyDescent="0.25" r="32" customHeight="1" ht="15">
      <c r="A32" s="28">
        <v>28</v>
      </c>
      <c r="B32" s="21">
        <v>22222237</v>
      </c>
      <c r="C32" s="13">
        <v>5.5</v>
      </c>
      <c r="D32" s="22">
        <v>10</v>
      </c>
      <c r="E32" s="23">
        <f>C32+D32</f>
      </c>
      <c r="F32" s="43">
        <v>0.75</v>
      </c>
      <c r="G32" s="43">
        <v>4.75</v>
      </c>
      <c r="H32" s="24">
        <f>F32+G32</f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x14ac:dyDescent="0.25" r="33" customHeight="1" ht="15">
      <c r="A33" s="28">
        <v>29</v>
      </c>
      <c r="B33" s="21">
        <v>22222170</v>
      </c>
      <c r="C33" s="22">
        <v>6</v>
      </c>
      <c r="D33" s="22">
        <v>5</v>
      </c>
      <c r="E33" s="26">
        <f>C33+D33</f>
      </c>
      <c r="F33" s="43">
        <v>3.25</v>
      </c>
      <c r="G33" s="43">
        <v>3.75</v>
      </c>
      <c r="H33" s="24">
        <f>F33+G33</f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x14ac:dyDescent="0.25" r="34" customHeight="1" ht="15">
      <c r="A34" s="28">
        <v>30</v>
      </c>
      <c r="B34" s="21">
        <v>22222230</v>
      </c>
      <c r="C34" s="22">
        <v>6</v>
      </c>
      <c r="D34" s="13">
        <v>6.5</v>
      </c>
      <c r="E34" s="23">
        <f>C34+D34</f>
      </c>
      <c r="F34" s="43">
        <v>4.25</v>
      </c>
      <c r="G34" s="43">
        <v>2.5</v>
      </c>
      <c r="H34" s="24">
        <f>F34+G34</f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x14ac:dyDescent="0.25" r="35" customHeight="1" ht="15">
      <c r="A35" s="28">
        <v>31</v>
      </c>
      <c r="B35" s="21">
        <v>22222240</v>
      </c>
      <c r="C35" s="13">
        <v>3.5</v>
      </c>
      <c r="D35" s="13">
        <v>2.5</v>
      </c>
      <c r="E35" s="26">
        <f>C35+D35</f>
      </c>
      <c r="F35" s="43">
        <v>3.25</v>
      </c>
      <c r="G35" s="44">
        <v>0</v>
      </c>
      <c r="H35" s="24">
        <f>F35+G35</f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x14ac:dyDescent="0.25" r="36" customHeight="1" ht="15">
      <c r="A36" s="28">
        <v>32</v>
      </c>
      <c r="B36" s="21">
        <v>22222235</v>
      </c>
      <c r="C36" s="22">
        <v>8</v>
      </c>
      <c r="D36" s="13">
        <v>9.5</v>
      </c>
      <c r="E36" s="23">
        <f>C36+D36</f>
      </c>
      <c r="F36" s="43">
        <v>5.5</v>
      </c>
      <c r="G36" s="43">
        <v>3.5</v>
      </c>
      <c r="H36" s="24">
        <f>F36+G36</f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x14ac:dyDescent="0.25" r="37" customHeight="1" ht="15">
      <c r="A37" s="2" t="s">
        <v>22</v>
      </c>
      <c r="B37" s="2"/>
      <c r="C37" s="2"/>
      <c r="D37" s="2"/>
      <c r="E37" s="2"/>
      <c r="F37" s="43"/>
      <c r="G37" s="40"/>
      <c r="H37" s="2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x14ac:dyDescent="0.25" r="38" customHeight="1" ht="15">
      <c r="A38" s="28">
        <v>33</v>
      </c>
      <c r="B38" s="53">
        <v>22122075</v>
      </c>
      <c r="C38" s="22">
        <v>0</v>
      </c>
      <c r="D38" s="22">
        <v>0</v>
      </c>
      <c r="E38" s="26">
        <f>C38+D38</f>
      </c>
      <c r="F38" s="54"/>
      <c r="G38" s="40"/>
      <c r="H38" s="24"/>
      <c r="I38" s="8" t="s">
        <v>13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x14ac:dyDescent="0.25" r="39" customHeight="1" ht="15">
      <c r="A39" s="28">
        <v>34</v>
      </c>
      <c r="B39" s="53">
        <v>22122067</v>
      </c>
      <c r="C39" s="22">
        <v>2</v>
      </c>
      <c r="D39" s="22">
        <v>0</v>
      </c>
      <c r="E39" s="26">
        <f>C39+D39</f>
      </c>
      <c r="F39" s="43">
        <v>0.5</v>
      </c>
      <c r="G39" s="44">
        <v>0</v>
      </c>
      <c r="H39" s="24">
        <f>F39+G39</f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x14ac:dyDescent="0.25" r="40" customHeight="1" ht="15">
      <c r="A40" s="28">
        <v>35</v>
      </c>
      <c r="B40" s="53">
        <v>22122198</v>
      </c>
      <c r="C40" s="22">
        <v>0</v>
      </c>
      <c r="D40" s="22">
        <v>0</v>
      </c>
      <c r="E40" s="26">
        <f>C40+D40</f>
      </c>
      <c r="F40" s="54"/>
      <c r="G40" s="40"/>
      <c r="H40" s="24"/>
      <c r="I40" s="8" t="s">
        <v>13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x14ac:dyDescent="0.25" r="41" customHeight="1" ht="18.75">
      <c r="A41" s="30"/>
      <c r="B41" s="30"/>
      <c r="C41" s="30"/>
      <c r="D41" s="30"/>
      <c r="E41" s="30"/>
      <c r="F41" s="31">
        <f>(SUM(F5:F36)+F39)/33</f>
      </c>
      <c r="G41" s="30"/>
      <c r="H41" s="4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x14ac:dyDescent="0.25" r="42" customHeight="1" ht="18.75">
      <c r="A42" s="30"/>
      <c r="B42" s="30"/>
      <c r="C42" s="30"/>
      <c r="D42" s="30"/>
      <c r="E42" s="30"/>
      <c r="F42" s="7"/>
      <c r="G42" s="30"/>
      <c r="H42" s="32">
        <f>SUM(H5:H40)/33</f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</sheetData>
  <mergeCells count="3">
    <mergeCell ref="A1:C2"/>
    <mergeCell ref="A3:B3"/>
    <mergeCell ref="A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90"/>
  <sheetViews>
    <sheetView workbookViewId="0" tabSelected="1"/>
  </sheetViews>
  <sheetFormatPr defaultRowHeight="15" x14ac:dyDescent="0.25"/>
  <cols>
    <col min="1" max="1" style="33" width="6.433571428571429" customWidth="1" bestFit="1"/>
    <col min="2" max="2" style="33" width="16.14785714285714" customWidth="1" bestFit="1"/>
    <col min="3" max="3" style="33" width="21.576428571428572" customWidth="1" bestFit="1"/>
    <col min="4" max="4" style="34" width="22.290714285714284" customWidth="1" bestFit="1"/>
    <col min="5" max="5" style="34" width="20.290714285714284" customWidth="1" bestFit="1"/>
    <col min="6" max="6" style="34" width="14.147857142857141" customWidth="1" bestFit="1"/>
    <col min="7" max="7" style="33" width="10.862142857142858" customWidth="1" bestFit="1"/>
    <col min="8" max="8" style="34" width="9.862142857142858" customWidth="1" bestFit="1"/>
    <col min="9" max="9" style="35" width="13.576428571428572" customWidth="1" bestFit="1"/>
  </cols>
  <sheetData>
    <row x14ac:dyDescent="0.25" r="1" customHeight="1" ht="14.25">
      <c r="A1" s="1" t="s">
        <v>0</v>
      </c>
      <c r="B1" s="2"/>
      <c r="C1" s="2"/>
      <c r="D1" s="36"/>
      <c r="E1" s="5"/>
      <c r="F1" s="7"/>
      <c r="G1" s="30"/>
      <c r="H1" s="7"/>
      <c r="I1" s="8"/>
    </row>
    <row x14ac:dyDescent="0.25" r="2" customHeight="1" ht="14.25">
      <c r="A2" s="2"/>
      <c r="B2" s="2"/>
      <c r="C2" s="2"/>
      <c r="D2" s="37" t="s">
        <v>1</v>
      </c>
      <c r="E2" s="5"/>
      <c r="F2" s="6"/>
      <c r="G2" s="30"/>
      <c r="H2" s="7"/>
      <c r="I2" s="8"/>
    </row>
    <row x14ac:dyDescent="0.25" r="3" customHeight="1" ht="33.75">
      <c r="A3" s="15" t="s">
        <v>14</v>
      </c>
      <c r="B3" s="15"/>
      <c r="C3" s="38"/>
      <c r="D3" s="39"/>
      <c r="E3" s="11"/>
      <c r="F3" s="13"/>
      <c r="G3" s="40"/>
      <c r="H3" s="14"/>
      <c r="I3" s="8"/>
    </row>
    <row x14ac:dyDescent="0.25" r="4" customHeight="1" ht="19.5">
      <c r="A4" s="15" t="s">
        <v>3</v>
      </c>
      <c r="B4" s="15" t="s">
        <v>4</v>
      </c>
      <c r="C4" s="17" t="s">
        <v>15</v>
      </c>
      <c r="D4" s="16" t="s">
        <v>6</v>
      </c>
      <c r="E4" s="18" t="s">
        <v>16</v>
      </c>
      <c r="F4" s="41" t="s">
        <v>8</v>
      </c>
      <c r="G4" s="42" t="s">
        <v>17</v>
      </c>
      <c r="H4" s="14" t="s">
        <v>10</v>
      </c>
      <c r="I4" s="8"/>
    </row>
    <row x14ac:dyDescent="0.25" r="5" customHeight="1" ht="14.25">
      <c r="A5" s="28">
        <v>1</v>
      </c>
      <c r="B5" s="17">
        <v>22222003</v>
      </c>
      <c r="C5" s="22">
        <v>8</v>
      </c>
      <c r="D5" s="13">
        <v>6.5</v>
      </c>
      <c r="E5" s="23">
        <f>C5+D5</f>
      </c>
      <c r="F5" s="43">
        <v>4.75</v>
      </c>
      <c r="G5" s="44">
        <v>5</v>
      </c>
      <c r="H5" s="24">
        <f>F5+G5</f>
      </c>
      <c r="I5" s="8"/>
    </row>
    <row x14ac:dyDescent="0.25" r="6" customHeight="1" ht="14.25">
      <c r="A6" s="28">
        <v>2</v>
      </c>
      <c r="B6" s="17">
        <v>22221959</v>
      </c>
      <c r="C6" s="22">
        <v>3</v>
      </c>
      <c r="D6" s="13">
        <v>2.5</v>
      </c>
      <c r="E6" s="23">
        <f>C6+D6</f>
      </c>
      <c r="F6" s="43">
        <v>2.75</v>
      </c>
      <c r="G6" s="44">
        <v>1</v>
      </c>
      <c r="H6" s="24">
        <f>F6+G6</f>
      </c>
      <c r="I6" s="8"/>
    </row>
    <row x14ac:dyDescent="0.25" r="7" customHeight="1" ht="14.25">
      <c r="A7" s="28">
        <v>3</v>
      </c>
      <c r="B7" s="17">
        <v>22221986</v>
      </c>
      <c r="C7" s="22">
        <v>3</v>
      </c>
      <c r="D7" s="22">
        <v>8</v>
      </c>
      <c r="E7" s="26">
        <f>C7+D7</f>
      </c>
      <c r="F7" s="43">
        <v>7.25</v>
      </c>
      <c r="G7" s="43">
        <v>2.25</v>
      </c>
      <c r="H7" s="24">
        <f>F7+G7</f>
      </c>
      <c r="I7" s="8"/>
    </row>
    <row x14ac:dyDescent="0.25" r="8" customHeight="1" ht="14.25">
      <c r="A8" s="28">
        <v>4</v>
      </c>
      <c r="B8" s="17">
        <v>22221987</v>
      </c>
      <c r="C8" s="22">
        <v>5</v>
      </c>
      <c r="D8" s="22">
        <v>5</v>
      </c>
      <c r="E8" s="26">
        <f>C8+D8</f>
      </c>
      <c r="F8" s="43">
        <v>4.5</v>
      </c>
      <c r="G8" s="43">
        <v>2.5</v>
      </c>
      <c r="H8" s="24">
        <f>F8+G8</f>
      </c>
      <c r="I8" s="8"/>
    </row>
    <row x14ac:dyDescent="0.25" r="9" customHeight="1" ht="14.25">
      <c r="A9" s="28">
        <v>5</v>
      </c>
      <c r="B9" s="17">
        <v>22221964</v>
      </c>
      <c r="C9" s="22">
        <v>6</v>
      </c>
      <c r="D9" s="22">
        <v>8</v>
      </c>
      <c r="E9" s="26">
        <f>C9+D9</f>
      </c>
      <c r="F9" s="43">
        <v>0</v>
      </c>
      <c r="G9" s="44">
        <v>0</v>
      </c>
      <c r="H9" s="24">
        <f>F9+G9</f>
      </c>
      <c r="I9" s="8"/>
    </row>
    <row x14ac:dyDescent="0.25" r="10" customHeight="1" ht="14.25">
      <c r="A10" s="28">
        <v>6</v>
      </c>
      <c r="B10" s="17">
        <v>22222001</v>
      </c>
      <c r="C10" s="22">
        <v>4</v>
      </c>
      <c r="D10" s="13">
        <v>2.5</v>
      </c>
      <c r="E10" s="23">
        <f>C10+D10</f>
      </c>
      <c r="F10" s="43">
        <v>1.5</v>
      </c>
      <c r="G10" s="44">
        <v>0</v>
      </c>
      <c r="H10" s="24">
        <f>F10+G10</f>
      </c>
      <c r="I10" s="8"/>
    </row>
    <row x14ac:dyDescent="0.25" r="11" customHeight="1" ht="14.25">
      <c r="A11" s="28">
        <v>7</v>
      </c>
      <c r="B11" s="17">
        <v>22221992</v>
      </c>
      <c r="C11" s="13">
        <v>4.5</v>
      </c>
      <c r="D11" s="13">
        <v>6.5</v>
      </c>
      <c r="E11" s="26">
        <f>C11+D11</f>
      </c>
      <c r="F11" s="43">
        <v>3.5</v>
      </c>
      <c r="G11" s="44">
        <v>0</v>
      </c>
      <c r="H11" s="24">
        <f>F11+G11</f>
      </c>
      <c r="I11" s="8"/>
    </row>
    <row x14ac:dyDescent="0.25" r="12" customHeight="1" ht="14.25">
      <c r="A12" s="28">
        <v>8</v>
      </c>
      <c r="B12" s="17">
        <v>22222007</v>
      </c>
      <c r="C12" s="22">
        <v>4</v>
      </c>
      <c r="D12" s="13">
        <v>6.5</v>
      </c>
      <c r="E12" s="23">
        <f>C12+D12</f>
      </c>
      <c r="F12" s="43">
        <v>1.25</v>
      </c>
      <c r="G12" s="44">
        <v>0</v>
      </c>
      <c r="H12" s="24">
        <f>F12+G12</f>
      </c>
      <c r="I12" s="8"/>
    </row>
    <row x14ac:dyDescent="0.25" r="13" customHeight="1" ht="14.25">
      <c r="A13" s="28">
        <v>9</v>
      </c>
      <c r="B13" s="17">
        <v>22222004</v>
      </c>
      <c r="C13" s="22">
        <v>6</v>
      </c>
      <c r="D13" s="22">
        <v>5</v>
      </c>
      <c r="E13" s="26">
        <f>C13+D13</f>
      </c>
      <c r="F13" s="43">
        <v>3</v>
      </c>
      <c r="G13" s="44">
        <v>1</v>
      </c>
      <c r="H13" s="24">
        <f>F13+G13</f>
      </c>
      <c r="I13" s="8"/>
    </row>
    <row x14ac:dyDescent="0.25" r="14" customHeight="1" ht="14.25">
      <c r="A14" s="28">
        <v>10</v>
      </c>
      <c r="B14" s="17">
        <v>22221953</v>
      </c>
      <c r="C14" s="13">
        <v>4.5</v>
      </c>
      <c r="D14" s="22">
        <v>8</v>
      </c>
      <c r="E14" s="23">
        <f>C14+D14</f>
      </c>
      <c r="F14" s="43">
        <v>1.25</v>
      </c>
      <c r="G14" s="43">
        <v>0.5</v>
      </c>
      <c r="H14" s="24">
        <f>F14+G14</f>
      </c>
      <c r="I14" s="8"/>
    </row>
    <row x14ac:dyDescent="0.25" r="15" customHeight="1" ht="14.25">
      <c r="A15" s="28">
        <v>11</v>
      </c>
      <c r="B15" s="17">
        <v>22221985</v>
      </c>
      <c r="C15" s="13">
        <v>5.5</v>
      </c>
      <c r="D15" s="22">
        <v>8</v>
      </c>
      <c r="E15" s="23">
        <f>C15+D15</f>
      </c>
      <c r="F15" s="43">
        <v>0.75</v>
      </c>
      <c r="G15" s="44">
        <v>0</v>
      </c>
      <c r="H15" s="24">
        <f>F15+G15</f>
      </c>
      <c r="I15" s="8"/>
    </row>
    <row x14ac:dyDescent="0.25" r="16" customHeight="1" ht="14.25">
      <c r="A16" s="28">
        <v>12</v>
      </c>
      <c r="B16" s="17">
        <v>22221954</v>
      </c>
      <c r="C16" s="22">
        <v>8</v>
      </c>
      <c r="D16" s="13">
        <v>9.5</v>
      </c>
      <c r="E16" s="23">
        <f>C16+D16</f>
      </c>
      <c r="F16" s="43">
        <v>5.5</v>
      </c>
      <c r="G16" s="44">
        <v>8</v>
      </c>
      <c r="H16" s="24">
        <f>F16+G16</f>
      </c>
      <c r="I16" s="8"/>
    </row>
    <row x14ac:dyDescent="0.25" r="17" customHeight="1" ht="14.25">
      <c r="A17" s="28">
        <v>13</v>
      </c>
      <c r="B17" s="17">
        <v>22221950</v>
      </c>
      <c r="C17" s="22">
        <v>4</v>
      </c>
      <c r="D17" s="13">
        <v>6.5</v>
      </c>
      <c r="E17" s="23">
        <f>C17+D17</f>
      </c>
      <c r="F17" s="43">
        <v>5</v>
      </c>
      <c r="G17" s="43">
        <v>1.75</v>
      </c>
      <c r="H17" s="24">
        <f>F17+G17</f>
      </c>
      <c r="I17" s="8"/>
    </row>
    <row x14ac:dyDescent="0.25" r="18" customHeight="1" ht="14.25">
      <c r="A18" s="28">
        <v>14</v>
      </c>
      <c r="B18" s="17">
        <v>22222000</v>
      </c>
      <c r="C18" s="22">
        <v>6</v>
      </c>
      <c r="D18" s="13">
        <v>6.5</v>
      </c>
      <c r="E18" s="23">
        <f>C18+D18</f>
      </c>
      <c r="F18" s="43">
        <v>4.75</v>
      </c>
      <c r="G18" s="43">
        <v>5.75</v>
      </c>
      <c r="H18" s="24">
        <f>F18+G18</f>
      </c>
      <c r="I18" s="8"/>
    </row>
    <row x14ac:dyDescent="0.25" r="19" customHeight="1" ht="14.25">
      <c r="A19" s="28">
        <v>15</v>
      </c>
      <c r="B19" s="17">
        <v>22222008</v>
      </c>
      <c r="C19" s="22">
        <v>4</v>
      </c>
      <c r="D19" s="22">
        <v>5</v>
      </c>
      <c r="E19" s="26">
        <f>C19+D19</f>
      </c>
      <c r="F19" s="43">
        <v>0</v>
      </c>
      <c r="G19" s="44">
        <v>0</v>
      </c>
      <c r="H19" s="24">
        <f>F19+G19</f>
      </c>
      <c r="I19" s="8"/>
    </row>
    <row x14ac:dyDescent="0.25" r="20" customHeight="1" ht="14.25">
      <c r="A20" s="28">
        <v>16</v>
      </c>
      <c r="B20" s="17">
        <v>22221999</v>
      </c>
      <c r="C20" s="13">
        <v>4.5</v>
      </c>
      <c r="D20" s="13">
        <v>6.5</v>
      </c>
      <c r="E20" s="26">
        <f>C20+D20</f>
      </c>
      <c r="F20" s="43">
        <v>3</v>
      </c>
      <c r="G20" s="43">
        <v>1.75</v>
      </c>
      <c r="H20" s="24">
        <f>F20+G20</f>
      </c>
      <c r="I20" s="8"/>
    </row>
    <row x14ac:dyDescent="0.25" r="21" customHeight="1" ht="16.5">
      <c r="A21" s="28">
        <v>17</v>
      </c>
      <c r="B21" s="17">
        <v>22221995</v>
      </c>
      <c r="C21" s="13">
        <v>4.5</v>
      </c>
      <c r="D21" s="22">
        <v>8</v>
      </c>
      <c r="E21" s="23">
        <f>C21+D21</f>
      </c>
      <c r="F21" s="43">
        <v>6</v>
      </c>
      <c r="G21" s="44">
        <v>6</v>
      </c>
      <c r="H21" s="24">
        <f>F21+G21</f>
      </c>
      <c r="I21" s="8"/>
    </row>
    <row x14ac:dyDescent="0.25" r="22" customHeight="1" ht="14.25">
      <c r="A22" s="28">
        <v>18</v>
      </c>
      <c r="B22" s="17">
        <v>22221955</v>
      </c>
      <c r="C22" s="22">
        <v>6</v>
      </c>
      <c r="D22" s="22">
        <v>8</v>
      </c>
      <c r="E22" s="26">
        <f>C22+D22</f>
      </c>
      <c r="F22" s="43">
        <v>2.25</v>
      </c>
      <c r="G22" s="43">
        <v>0.5</v>
      </c>
      <c r="H22" s="24">
        <f>F22+G22</f>
      </c>
      <c r="I22" s="8"/>
    </row>
    <row x14ac:dyDescent="0.25" r="23" customHeight="1" ht="14.25">
      <c r="A23" s="28">
        <v>19</v>
      </c>
      <c r="B23" s="17">
        <v>22221956</v>
      </c>
      <c r="C23" s="13">
        <v>6.5</v>
      </c>
      <c r="D23" s="22">
        <v>5</v>
      </c>
      <c r="E23" s="23">
        <f>C23+D23</f>
      </c>
      <c r="F23" s="43"/>
      <c r="G23" s="40"/>
      <c r="H23" s="24">
        <f>F23+G23</f>
      </c>
      <c r="I23" s="8" t="s">
        <v>13</v>
      </c>
    </row>
    <row x14ac:dyDescent="0.25" r="24" customHeight="1" ht="14.25">
      <c r="A24" s="28">
        <v>20</v>
      </c>
      <c r="B24" s="17">
        <v>22221996</v>
      </c>
      <c r="C24" s="13">
        <v>6.5</v>
      </c>
      <c r="D24" s="22">
        <v>8</v>
      </c>
      <c r="E24" s="23">
        <f>C24+D24</f>
      </c>
      <c r="F24" s="43">
        <v>4.75</v>
      </c>
      <c r="G24" s="44">
        <v>0</v>
      </c>
      <c r="H24" s="24">
        <f>F24+G24</f>
      </c>
      <c r="I24" s="8"/>
    </row>
    <row x14ac:dyDescent="0.25" r="25" customHeight="1" ht="14.25">
      <c r="A25" s="28">
        <v>21</v>
      </c>
      <c r="B25" s="17">
        <v>22222006</v>
      </c>
      <c r="C25" s="22">
        <v>5</v>
      </c>
      <c r="D25" s="22">
        <v>5</v>
      </c>
      <c r="E25" s="26">
        <f>C25+D25</f>
      </c>
      <c r="F25" s="43">
        <v>3.75</v>
      </c>
      <c r="G25" s="43">
        <v>0.75</v>
      </c>
      <c r="H25" s="24">
        <f>F25+G25</f>
      </c>
      <c r="I25" s="8"/>
    </row>
    <row x14ac:dyDescent="0.25" r="26" customHeight="1" ht="14.25">
      <c r="A26" s="28">
        <v>22</v>
      </c>
      <c r="B26" s="17">
        <v>22221993</v>
      </c>
      <c r="C26" s="22">
        <v>4</v>
      </c>
      <c r="D26" s="13">
        <v>6.5</v>
      </c>
      <c r="E26" s="23">
        <f>C26+D26</f>
      </c>
      <c r="F26" s="43">
        <v>3.75</v>
      </c>
      <c r="G26" s="44">
        <v>2</v>
      </c>
      <c r="H26" s="24">
        <f>F26+G26</f>
      </c>
      <c r="I26" s="8"/>
    </row>
    <row x14ac:dyDescent="0.25" r="27" customHeight="1" ht="14.25">
      <c r="A27" s="28">
        <v>23</v>
      </c>
      <c r="B27" s="17">
        <v>22221988</v>
      </c>
      <c r="C27" s="22">
        <v>5</v>
      </c>
      <c r="D27" s="22">
        <v>5</v>
      </c>
      <c r="E27" s="26">
        <f>C27+D27</f>
      </c>
      <c r="F27" s="43">
        <v>0</v>
      </c>
      <c r="G27" s="44">
        <v>0</v>
      </c>
      <c r="H27" s="24">
        <f>F27+G27</f>
      </c>
      <c r="I27" s="8"/>
    </row>
    <row x14ac:dyDescent="0.25" r="28" customHeight="1" ht="14.25">
      <c r="A28" s="28">
        <v>24</v>
      </c>
      <c r="B28" s="17">
        <v>22221969</v>
      </c>
      <c r="C28" s="13">
        <v>6.5</v>
      </c>
      <c r="D28" s="22">
        <v>10</v>
      </c>
      <c r="E28" s="23">
        <f>C28+D28</f>
      </c>
      <c r="F28" s="43">
        <v>3.75</v>
      </c>
      <c r="G28" s="44">
        <v>1</v>
      </c>
      <c r="H28" s="24">
        <f>F28+G28</f>
      </c>
      <c r="I28" s="8"/>
    </row>
    <row x14ac:dyDescent="0.25" r="29" customHeight="1" ht="14.25">
      <c r="A29" s="28">
        <v>25</v>
      </c>
      <c r="B29" s="17">
        <v>22221994</v>
      </c>
      <c r="C29" s="22">
        <v>5</v>
      </c>
      <c r="D29" s="22">
        <v>8</v>
      </c>
      <c r="E29" s="26">
        <f>C29+D29</f>
      </c>
      <c r="F29" s="43">
        <v>7</v>
      </c>
      <c r="G29" s="43">
        <v>6.5</v>
      </c>
      <c r="H29" s="24">
        <f>F29+G29</f>
      </c>
      <c r="I29" s="8"/>
    </row>
    <row x14ac:dyDescent="0.25" r="30" customHeight="1" ht="14.25">
      <c r="A30" s="28">
        <v>26</v>
      </c>
      <c r="B30" s="17">
        <v>22221965</v>
      </c>
      <c r="C30" s="22">
        <v>4</v>
      </c>
      <c r="D30" s="13">
        <v>2.5</v>
      </c>
      <c r="E30" s="23">
        <f>C30+D30</f>
      </c>
      <c r="F30" s="43">
        <v>2</v>
      </c>
      <c r="G30" s="44">
        <v>0</v>
      </c>
      <c r="H30" s="24">
        <f>F30+G30</f>
      </c>
      <c r="I30" s="8"/>
    </row>
    <row x14ac:dyDescent="0.25" r="31" customHeight="1" ht="14.25">
      <c r="A31" s="28">
        <v>27</v>
      </c>
      <c r="B31" s="17">
        <v>22222002</v>
      </c>
      <c r="C31" s="13">
        <v>3.5</v>
      </c>
      <c r="D31" s="13">
        <v>6.5</v>
      </c>
      <c r="E31" s="26">
        <f>C31+D31</f>
      </c>
      <c r="F31" s="43">
        <v>1</v>
      </c>
      <c r="G31" s="44">
        <v>0</v>
      </c>
      <c r="H31" s="24">
        <f>F31+G31</f>
      </c>
      <c r="I31" s="8"/>
    </row>
    <row x14ac:dyDescent="0.25" r="32" customHeight="1" ht="14.25">
      <c r="A32" s="2" t="s">
        <v>12</v>
      </c>
      <c r="B32" s="2"/>
      <c r="C32" s="2"/>
      <c r="D32" s="45"/>
      <c r="E32" s="29"/>
      <c r="F32" s="43"/>
      <c r="G32" s="40"/>
      <c r="H32" s="24"/>
      <c r="I32" s="8"/>
    </row>
    <row x14ac:dyDescent="0.25" r="33" customHeight="1" ht="14.25">
      <c r="A33" s="28">
        <v>28</v>
      </c>
      <c r="B33" s="17">
        <v>22122258</v>
      </c>
      <c r="C33" s="22">
        <v>3</v>
      </c>
      <c r="D33" s="22">
        <v>5</v>
      </c>
      <c r="E33" s="26">
        <f>C33+D33</f>
      </c>
      <c r="F33" s="43">
        <v>2.5</v>
      </c>
      <c r="G33" s="44">
        <v>0</v>
      </c>
      <c r="H33" s="24">
        <f>F33+G33</f>
      </c>
      <c r="I33" s="8"/>
    </row>
    <row x14ac:dyDescent="0.25" r="34" customHeight="1" ht="14.25">
      <c r="A34" s="28">
        <v>29</v>
      </c>
      <c r="B34" s="17">
        <v>22022908</v>
      </c>
      <c r="C34" s="13">
        <v>3.5</v>
      </c>
      <c r="D34" s="22">
        <v>0</v>
      </c>
      <c r="E34" s="23">
        <f>C34+D34</f>
      </c>
      <c r="F34" s="43">
        <v>1.75</v>
      </c>
      <c r="G34" s="44">
        <v>0</v>
      </c>
      <c r="H34" s="24">
        <f>F34+G34</f>
      </c>
      <c r="I34" s="8"/>
    </row>
    <row x14ac:dyDescent="0.25" r="35" customHeight="1" ht="14.25">
      <c r="A35" s="28">
        <v>30</v>
      </c>
      <c r="B35" s="17">
        <v>22122280</v>
      </c>
      <c r="C35" s="13">
        <v>5.5</v>
      </c>
      <c r="D35" s="13">
        <v>6.5</v>
      </c>
      <c r="E35" s="26">
        <f>C35+D35</f>
      </c>
      <c r="F35" s="43">
        <v>4.25</v>
      </c>
      <c r="G35" s="44">
        <v>1</v>
      </c>
      <c r="H35" s="24">
        <f>F35+G35</f>
      </c>
      <c r="I35" s="8"/>
    </row>
    <row x14ac:dyDescent="0.25" r="36" customHeight="1" ht="14.25">
      <c r="A36" s="28">
        <v>31</v>
      </c>
      <c r="B36" s="17">
        <v>22122000</v>
      </c>
      <c r="C36" s="13">
        <v>5.5</v>
      </c>
      <c r="D36" s="13">
        <v>5.5</v>
      </c>
      <c r="E36" s="26">
        <f>C36+D36</f>
      </c>
      <c r="F36" s="43">
        <v>5</v>
      </c>
      <c r="G36" s="43">
        <v>2.75</v>
      </c>
      <c r="H36" s="24">
        <f>F36+G36</f>
      </c>
      <c r="I36" s="8"/>
    </row>
    <row x14ac:dyDescent="0.25" r="37" customHeight="1" ht="14.25">
      <c r="A37" s="28">
        <v>32</v>
      </c>
      <c r="B37" s="17">
        <v>22122010</v>
      </c>
      <c r="C37" s="22">
        <v>3</v>
      </c>
      <c r="D37" s="13">
        <v>6.5</v>
      </c>
      <c r="E37" s="23">
        <f>C37+D37</f>
      </c>
      <c r="F37" s="43">
        <v>0.5</v>
      </c>
      <c r="G37" s="44">
        <v>0</v>
      </c>
      <c r="H37" s="24">
        <f>F37+G37</f>
      </c>
      <c r="I37" s="8"/>
    </row>
    <row x14ac:dyDescent="0.25" r="38" customHeight="1" ht="14.25">
      <c r="A38" s="30"/>
      <c r="B38" s="30"/>
      <c r="C38" s="30"/>
      <c r="D38" s="7"/>
      <c r="E38" s="7"/>
      <c r="F38" s="31">
        <f>(SUM(F33:F37)+SUM(F24:F31)+SUM(F5:F22))/31</f>
      </c>
      <c r="G38" s="30"/>
      <c r="H38" s="7"/>
      <c r="I38" s="8"/>
    </row>
    <row x14ac:dyDescent="0.25" r="39" customHeight="1" ht="14.25">
      <c r="A39" s="30"/>
      <c r="B39" s="30"/>
      <c r="C39" s="30"/>
      <c r="D39" s="7"/>
      <c r="E39" s="7"/>
      <c r="F39" s="7"/>
      <c r="G39" s="30"/>
      <c r="H39" s="32">
        <f>SUM(H5:H37)/31</f>
      </c>
      <c r="I39" s="8"/>
    </row>
    <row x14ac:dyDescent="0.25" r="40" customHeight="1" ht="14.25">
      <c r="A40" s="30"/>
      <c r="B40" s="30"/>
      <c r="C40" s="30"/>
      <c r="D40" s="7"/>
      <c r="E40" s="7"/>
      <c r="F40" s="7"/>
      <c r="G40" s="30"/>
      <c r="H40" s="7"/>
      <c r="I40" s="8"/>
    </row>
    <row x14ac:dyDescent="0.25" r="41" customHeight="1" ht="14.25">
      <c r="A41" s="30"/>
      <c r="B41" s="30"/>
      <c r="C41" s="30"/>
      <c r="D41" s="7"/>
      <c r="E41" s="7"/>
      <c r="F41" s="7"/>
      <c r="G41" s="30"/>
      <c r="H41" s="7"/>
      <c r="I41" s="8"/>
    </row>
    <row x14ac:dyDescent="0.25" r="42" customHeight="1" ht="14.25">
      <c r="A42" s="30"/>
      <c r="B42" s="30"/>
      <c r="C42" s="30"/>
      <c r="D42" s="7"/>
      <c r="E42" s="7"/>
      <c r="F42" s="7"/>
      <c r="G42" s="30"/>
      <c r="H42" s="7"/>
      <c r="I42" s="8"/>
    </row>
    <row x14ac:dyDescent="0.25" r="43" customHeight="1" ht="14.25">
      <c r="A43" s="30"/>
      <c r="B43" s="30"/>
      <c r="C43" s="30"/>
      <c r="D43" s="7"/>
      <c r="E43" s="7"/>
      <c r="F43" s="7"/>
      <c r="G43" s="30"/>
      <c r="H43" s="7"/>
      <c r="I43" s="8"/>
    </row>
    <row x14ac:dyDescent="0.25" r="44" customHeight="1" ht="14.25">
      <c r="A44" s="30"/>
      <c r="B44" s="30"/>
      <c r="C44" s="30"/>
      <c r="D44" s="7"/>
      <c r="E44" s="7"/>
      <c r="F44" s="7"/>
      <c r="G44" s="30"/>
      <c r="H44" s="7"/>
      <c r="I44" s="8"/>
    </row>
    <row x14ac:dyDescent="0.25" r="45" customHeight="1" ht="14.25">
      <c r="A45" s="30"/>
      <c r="B45" s="30"/>
      <c r="C45" s="30"/>
      <c r="D45" s="7"/>
      <c r="E45" s="7"/>
      <c r="F45" s="7"/>
      <c r="G45" s="30"/>
      <c r="H45" s="7"/>
      <c r="I45" s="8"/>
    </row>
    <row x14ac:dyDescent="0.25" r="46" customHeight="1" ht="14.25">
      <c r="A46" s="30"/>
      <c r="B46" s="30"/>
      <c r="C46" s="30"/>
      <c r="D46" s="7"/>
      <c r="E46" s="7"/>
      <c r="F46" s="7"/>
      <c r="G46" s="30"/>
      <c r="H46" s="7"/>
      <c r="I46" s="8"/>
    </row>
    <row x14ac:dyDescent="0.25" r="47" customHeight="1" ht="14.25">
      <c r="A47" s="30"/>
      <c r="B47" s="30"/>
      <c r="C47" s="30"/>
      <c r="D47" s="7"/>
      <c r="E47" s="7"/>
      <c r="F47" s="7"/>
      <c r="G47" s="30"/>
      <c r="H47" s="7"/>
      <c r="I47" s="8"/>
    </row>
    <row x14ac:dyDescent="0.25" r="48" customHeight="1" ht="14.25">
      <c r="A48" s="30"/>
      <c r="B48" s="30"/>
      <c r="C48" s="30"/>
      <c r="D48" s="7"/>
      <c r="E48" s="7"/>
      <c r="F48" s="7"/>
      <c r="G48" s="30"/>
      <c r="H48" s="7"/>
      <c r="I48" s="8"/>
    </row>
    <row x14ac:dyDescent="0.25" r="49" customHeight="1" ht="14.25">
      <c r="A49" s="30"/>
      <c r="B49" s="30"/>
      <c r="C49" s="30"/>
      <c r="D49" s="7"/>
      <c r="E49" s="7"/>
      <c r="F49" s="7"/>
      <c r="G49" s="30"/>
      <c r="H49" s="7"/>
      <c r="I49" s="8"/>
    </row>
    <row x14ac:dyDescent="0.25" r="50" customHeight="1" ht="14.25">
      <c r="A50" s="30"/>
      <c r="B50" s="30"/>
      <c r="C50" s="30"/>
      <c r="D50" s="7"/>
      <c r="E50" s="7"/>
      <c r="F50" s="7"/>
      <c r="G50" s="30"/>
      <c r="H50" s="7"/>
      <c r="I50" s="8"/>
    </row>
    <row x14ac:dyDescent="0.25" r="51" customHeight="1" ht="14.25">
      <c r="A51" s="30"/>
      <c r="B51" s="30"/>
      <c r="C51" s="30"/>
      <c r="D51" s="7"/>
      <c r="E51" s="7"/>
      <c r="F51" s="7"/>
      <c r="G51" s="30"/>
      <c r="H51" s="7"/>
      <c r="I51" s="8"/>
    </row>
    <row x14ac:dyDescent="0.25" r="52" customHeight="1" ht="14.25">
      <c r="A52" s="30"/>
      <c r="B52" s="30"/>
      <c r="C52" s="30"/>
      <c r="D52" s="7"/>
      <c r="E52" s="7"/>
      <c r="F52" s="7"/>
      <c r="G52" s="30"/>
      <c r="H52" s="7"/>
      <c r="I52" s="8"/>
    </row>
    <row x14ac:dyDescent="0.25" r="53" customHeight="1" ht="14.25">
      <c r="A53" s="30"/>
      <c r="B53" s="30"/>
      <c r="C53" s="30"/>
      <c r="D53" s="7"/>
      <c r="E53" s="7"/>
      <c r="F53" s="7"/>
      <c r="G53" s="30"/>
      <c r="H53" s="7"/>
      <c r="I53" s="8"/>
    </row>
    <row x14ac:dyDescent="0.25" r="54" customHeight="1" ht="14.25">
      <c r="A54" s="30"/>
      <c r="B54" s="30"/>
      <c r="C54" s="30"/>
      <c r="D54" s="7"/>
      <c r="E54" s="7"/>
      <c r="F54" s="7"/>
      <c r="G54" s="30"/>
      <c r="H54" s="7"/>
      <c r="I54" s="8"/>
    </row>
    <row x14ac:dyDescent="0.25" r="55" customHeight="1" ht="14.25">
      <c r="A55" s="30"/>
      <c r="B55" s="30"/>
      <c r="C55" s="30"/>
      <c r="D55" s="7"/>
      <c r="E55" s="7"/>
      <c r="F55" s="7"/>
      <c r="G55" s="30"/>
      <c r="H55" s="7"/>
      <c r="I55" s="8"/>
    </row>
    <row x14ac:dyDescent="0.25" r="56" customHeight="1" ht="14.25">
      <c r="A56" s="30"/>
      <c r="B56" s="30"/>
      <c r="C56" s="30"/>
      <c r="D56" s="7"/>
      <c r="E56" s="7"/>
      <c r="F56" s="7"/>
      <c r="G56" s="30"/>
      <c r="H56" s="7"/>
      <c r="I56" s="8"/>
    </row>
    <row x14ac:dyDescent="0.25" r="57" customHeight="1" ht="14.25">
      <c r="A57" s="30"/>
      <c r="B57" s="30"/>
      <c r="C57" s="30"/>
      <c r="D57" s="7"/>
      <c r="E57" s="7"/>
      <c r="F57" s="7"/>
      <c r="G57" s="30"/>
      <c r="H57" s="7"/>
      <c r="I57" s="8"/>
    </row>
    <row x14ac:dyDescent="0.25" r="58" customHeight="1" ht="14.25">
      <c r="A58" s="30"/>
      <c r="B58" s="30"/>
      <c r="C58" s="30"/>
      <c r="D58" s="7"/>
      <c r="E58" s="7"/>
      <c r="F58" s="7"/>
      <c r="G58" s="30"/>
      <c r="H58" s="7"/>
      <c r="I58" s="8"/>
    </row>
    <row x14ac:dyDescent="0.25" r="59" customHeight="1" ht="14.25">
      <c r="A59" s="30"/>
      <c r="B59" s="30"/>
      <c r="C59" s="30"/>
      <c r="D59" s="7"/>
      <c r="E59" s="7"/>
      <c r="F59" s="7"/>
      <c r="G59" s="30"/>
      <c r="H59" s="7"/>
      <c r="I59" s="8"/>
    </row>
    <row x14ac:dyDescent="0.25" r="60" customHeight="1" ht="14.25">
      <c r="A60" s="30"/>
      <c r="B60" s="30"/>
      <c r="C60" s="30"/>
      <c r="D60" s="7"/>
      <c r="E60" s="7"/>
      <c r="F60" s="7"/>
      <c r="G60" s="30"/>
      <c r="H60" s="7"/>
      <c r="I60" s="8"/>
    </row>
    <row x14ac:dyDescent="0.25" r="61" customHeight="1" ht="14.25">
      <c r="A61" s="30"/>
      <c r="B61" s="30"/>
      <c r="C61" s="30"/>
      <c r="D61" s="7"/>
      <c r="E61" s="7"/>
      <c r="F61" s="7"/>
      <c r="G61" s="30"/>
      <c r="H61" s="7"/>
      <c r="I61" s="8"/>
    </row>
    <row x14ac:dyDescent="0.25" r="62" customHeight="1" ht="14.25">
      <c r="A62" s="30"/>
      <c r="B62" s="30"/>
      <c r="C62" s="30"/>
      <c r="D62" s="7"/>
      <c r="E62" s="7"/>
      <c r="F62" s="7"/>
      <c r="G62" s="30"/>
      <c r="H62" s="7"/>
      <c r="I62" s="8"/>
    </row>
    <row x14ac:dyDescent="0.25" r="63" customHeight="1" ht="14.25">
      <c r="A63" s="30"/>
      <c r="B63" s="30"/>
      <c r="C63" s="30"/>
      <c r="D63" s="7"/>
      <c r="E63" s="7"/>
      <c r="F63" s="7"/>
      <c r="G63" s="30"/>
      <c r="H63" s="7"/>
      <c r="I63" s="8"/>
    </row>
    <row x14ac:dyDescent="0.25" r="64" customHeight="1" ht="14.25">
      <c r="A64" s="30"/>
      <c r="B64" s="30"/>
      <c r="C64" s="30"/>
      <c r="D64" s="7"/>
      <c r="E64" s="7"/>
      <c r="F64" s="7"/>
      <c r="G64" s="30"/>
      <c r="H64" s="7"/>
      <c r="I64" s="8"/>
    </row>
    <row x14ac:dyDescent="0.25" r="65" customHeight="1" ht="14.25">
      <c r="A65" s="30"/>
      <c r="B65" s="30"/>
      <c r="C65" s="30"/>
      <c r="D65" s="7"/>
      <c r="E65" s="7"/>
      <c r="F65" s="7"/>
      <c r="G65" s="30"/>
      <c r="H65" s="7"/>
      <c r="I65" s="8"/>
    </row>
    <row x14ac:dyDescent="0.25" r="66" customHeight="1" ht="14.25">
      <c r="A66" s="30"/>
      <c r="B66" s="30"/>
      <c r="C66" s="30"/>
      <c r="D66" s="7"/>
      <c r="E66" s="7"/>
      <c r="F66" s="7"/>
      <c r="G66" s="30"/>
      <c r="H66" s="7"/>
      <c r="I66" s="8"/>
    </row>
    <row x14ac:dyDescent="0.25" r="67" customHeight="1" ht="14.25">
      <c r="A67" s="30"/>
      <c r="B67" s="30"/>
      <c r="C67" s="30"/>
      <c r="D67" s="7"/>
      <c r="E67" s="7"/>
      <c r="F67" s="7"/>
      <c r="G67" s="30"/>
      <c r="H67" s="7"/>
      <c r="I67" s="8"/>
    </row>
    <row x14ac:dyDescent="0.25" r="68" customHeight="1" ht="14.25">
      <c r="A68" s="30"/>
      <c r="B68" s="30"/>
      <c r="C68" s="30"/>
      <c r="D68" s="7"/>
      <c r="E68" s="7"/>
      <c r="F68" s="7"/>
      <c r="G68" s="30"/>
      <c r="H68" s="7"/>
      <c r="I68" s="8"/>
    </row>
    <row x14ac:dyDescent="0.25" r="69" customHeight="1" ht="14.25">
      <c r="A69" s="30"/>
      <c r="B69" s="30"/>
      <c r="C69" s="30"/>
      <c r="D69" s="7"/>
      <c r="E69" s="7"/>
      <c r="F69" s="7"/>
      <c r="G69" s="30"/>
      <c r="H69" s="7"/>
      <c r="I69" s="8"/>
    </row>
    <row x14ac:dyDescent="0.25" r="70" customHeight="1" ht="14.25">
      <c r="A70" s="30"/>
      <c r="B70" s="30"/>
      <c r="C70" s="30"/>
      <c r="D70" s="7"/>
      <c r="E70" s="7"/>
      <c r="F70" s="7"/>
      <c r="G70" s="30"/>
      <c r="H70" s="7"/>
      <c r="I70" s="8"/>
    </row>
    <row x14ac:dyDescent="0.25" r="71" customHeight="1" ht="14.25">
      <c r="A71" s="30"/>
      <c r="B71" s="30"/>
      <c r="C71" s="30"/>
      <c r="D71" s="7"/>
      <c r="E71" s="7"/>
      <c r="F71" s="7"/>
      <c r="G71" s="30"/>
      <c r="H71" s="7"/>
      <c r="I71" s="8"/>
    </row>
    <row x14ac:dyDescent="0.25" r="72" customHeight="1" ht="14.25">
      <c r="A72" s="30"/>
      <c r="B72" s="30"/>
      <c r="C72" s="30"/>
      <c r="D72" s="7"/>
      <c r="E72" s="7"/>
      <c r="F72" s="7"/>
      <c r="G72" s="30"/>
      <c r="H72" s="7"/>
      <c r="I72" s="8"/>
    </row>
    <row x14ac:dyDescent="0.25" r="73" customHeight="1" ht="14.25">
      <c r="A73" s="30"/>
      <c r="B73" s="30"/>
      <c r="C73" s="30"/>
      <c r="D73" s="7"/>
      <c r="E73" s="7"/>
      <c r="F73" s="7"/>
      <c r="G73" s="30"/>
      <c r="H73" s="7"/>
      <c r="I73" s="8"/>
    </row>
    <row x14ac:dyDescent="0.25" r="74" customHeight="1" ht="14.25">
      <c r="A74" s="30"/>
      <c r="B74" s="30"/>
      <c r="C74" s="30"/>
      <c r="D74" s="7"/>
      <c r="E74" s="7"/>
      <c r="F74" s="7"/>
      <c r="G74" s="30"/>
      <c r="H74" s="7"/>
      <c r="I74" s="8"/>
    </row>
    <row x14ac:dyDescent="0.25" r="75" customHeight="1" ht="14.25">
      <c r="A75" s="30"/>
      <c r="B75" s="30"/>
      <c r="C75" s="30"/>
      <c r="D75" s="7"/>
      <c r="E75" s="7"/>
      <c r="F75" s="7"/>
      <c r="G75" s="30"/>
      <c r="H75" s="7"/>
      <c r="I75" s="8"/>
    </row>
    <row x14ac:dyDescent="0.25" r="76" customHeight="1" ht="14.25">
      <c r="A76" s="30"/>
      <c r="B76" s="30"/>
      <c r="C76" s="30"/>
      <c r="D76" s="7"/>
      <c r="E76" s="7"/>
      <c r="F76" s="7"/>
      <c r="G76" s="30"/>
      <c r="H76" s="7"/>
      <c r="I76" s="8"/>
    </row>
    <row x14ac:dyDescent="0.25" r="77" customHeight="1" ht="14.25">
      <c r="A77" s="30"/>
      <c r="B77" s="30"/>
      <c r="C77" s="30"/>
      <c r="D77" s="7"/>
      <c r="E77" s="7"/>
      <c r="F77" s="7"/>
      <c r="G77" s="30"/>
      <c r="H77" s="7"/>
      <c r="I77" s="8"/>
    </row>
    <row x14ac:dyDescent="0.25" r="78" customHeight="1" ht="14.25">
      <c r="A78" s="30"/>
      <c r="B78" s="30"/>
      <c r="C78" s="30"/>
      <c r="D78" s="7"/>
      <c r="E78" s="7"/>
      <c r="F78" s="7"/>
      <c r="G78" s="30"/>
      <c r="H78" s="7"/>
      <c r="I78" s="8"/>
    </row>
    <row x14ac:dyDescent="0.25" r="79" customHeight="1" ht="14.25">
      <c r="A79" s="30"/>
      <c r="B79" s="30"/>
      <c r="C79" s="30"/>
      <c r="D79" s="7"/>
      <c r="E79" s="7"/>
      <c r="F79" s="7"/>
      <c r="G79" s="30"/>
      <c r="H79" s="7"/>
      <c r="I79" s="8"/>
    </row>
    <row x14ac:dyDescent="0.25" r="80" customHeight="1" ht="14.25">
      <c r="A80" s="30"/>
      <c r="B80" s="30"/>
      <c r="C80" s="30"/>
      <c r="D80" s="7"/>
      <c r="E80" s="7"/>
      <c r="F80" s="7"/>
      <c r="G80" s="30"/>
      <c r="H80" s="7"/>
      <c r="I80" s="8"/>
    </row>
    <row x14ac:dyDescent="0.25" r="81" customHeight="1" ht="14.25">
      <c r="A81" s="30"/>
      <c r="B81" s="30"/>
      <c r="C81" s="30"/>
      <c r="D81" s="7"/>
      <c r="E81" s="7"/>
      <c r="F81" s="7"/>
      <c r="G81" s="30"/>
      <c r="H81" s="7"/>
      <c r="I81" s="8"/>
    </row>
    <row x14ac:dyDescent="0.25" r="82" customHeight="1" ht="14.25">
      <c r="A82" s="30"/>
      <c r="B82" s="30"/>
      <c r="C82" s="30"/>
      <c r="D82" s="7"/>
      <c r="E82" s="7"/>
      <c r="F82" s="7"/>
      <c r="G82" s="30"/>
      <c r="H82" s="7"/>
      <c r="I82" s="8"/>
    </row>
    <row x14ac:dyDescent="0.25" r="83" customHeight="1" ht="14.25">
      <c r="A83" s="30"/>
      <c r="B83" s="30"/>
      <c r="C83" s="30"/>
      <c r="D83" s="7"/>
      <c r="E83" s="7"/>
      <c r="F83" s="7"/>
      <c r="G83" s="30"/>
      <c r="H83" s="7"/>
      <c r="I83" s="8"/>
    </row>
    <row x14ac:dyDescent="0.25" r="84" customHeight="1" ht="14.25">
      <c r="A84" s="30"/>
      <c r="B84" s="30"/>
      <c r="C84" s="30"/>
      <c r="D84" s="7"/>
      <c r="E84" s="7"/>
      <c r="F84" s="7"/>
      <c r="G84" s="30"/>
      <c r="H84" s="7"/>
      <c r="I84" s="8"/>
    </row>
    <row x14ac:dyDescent="0.25" r="85" customHeight="1" ht="14.25">
      <c r="A85" s="30"/>
      <c r="B85" s="30"/>
      <c r="C85" s="30"/>
      <c r="D85" s="7"/>
      <c r="E85" s="7"/>
      <c r="F85" s="7"/>
      <c r="G85" s="30"/>
      <c r="H85" s="7"/>
      <c r="I85" s="8"/>
    </row>
    <row x14ac:dyDescent="0.25" r="86" customHeight="1" ht="14.25">
      <c r="A86" s="30"/>
      <c r="B86" s="30"/>
      <c r="C86" s="30"/>
      <c r="D86" s="7"/>
      <c r="E86" s="7"/>
      <c r="F86" s="7"/>
      <c r="G86" s="30"/>
      <c r="H86" s="7"/>
      <c r="I86" s="8"/>
    </row>
    <row x14ac:dyDescent="0.25" r="87" customHeight="1" ht="14.25">
      <c r="A87" s="30"/>
      <c r="B87" s="30"/>
      <c r="C87" s="30"/>
      <c r="D87" s="7"/>
      <c r="E87" s="7"/>
      <c r="F87" s="7"/>
      <c r="G87" s="30"/>
      <c r="H87" s="7"/>
      <c r="I87" s="8"/>
    </row>
    <row x14ac:dyDescent="0.25" r="88" customHeight="1" ht="14.25">
      <c r="A88" s="30"/>
      <c r="B88" s="30"/>
      <c r="C88" s="30"/>
      <c r="D88" s="7"/>
      <c r="E88" s="7"/>
      <c r="F88" s="7"/>
      <c r="G88" s="30"/>
      <c r="H88" s="7"/>
      <c r="I88" s="8"/>
    </row>
    <row x14ac:dyDescent="0.25" r="89" customHeight="1" ht="14.25">
      <c r="A89" s="30"/>
      <c r="B89" s="30"/>
      <c r="C89" s="30"/>
      <c r="D89" s="7"/>
      <c r="E89" s="7"/>
      <c r="F89" s="7"/>
      <c r="G89" s="30"/>
      <c r="H89" s="7"/>
      <c r="I89" s="8"/>
    </row>
    <row x14ac:dyDescent="0.25" r="90" customHeight="1" ht="14.25">
      <c r="A90" s="30"/>
      <c r="B90" s="30"/>
      <c r="C90" s="30"/>
      <c r="D90" s="7"/>
      <c r="E90" s="7"/>
      <c r="F90" s="7"/>
      <c r="G90" s="30"/>
      <c r="H90" s="7"/>
      <c r="I90" s="8"/>
    </row>
    <row x14ac:dyDescent="0.25" r="91" customHeight="1" ht="14.25">
      <c r="A91" s="30"/>
      <c r="B91" s="30"/>
      <c r="C91" s="30"/>
      <c r="D91" s="7"/>
      <c r="E91" s="7"/>
      <c r="F91" s="7"/>
      <c r="G91" s="30"/>
      <c r="H91" s="7"/>
      <c r="I91" s="8"/>
    </row>
    <row x14ac:dyDescent="0.25" r="92" customHeight="1" ht="14.25">
      <c r="A92" s="30"/>
      <c r="B92" s="30"/>
      <c r="C92" s="30"/>
      <c r="D92" s="7"/>
      <c r="E92" s="7"/>
      <c r="F92" s="7"/>
      <c r="G92" s="30"/>
      <c r="H92" s="7"/>
      <c r="I92" s="8"/>
    </row>
    <row x14ac:dyDescent="0.25" r="93" customHeight="1" ht="14.25">
      <c r="A93" s="30"/>
      <c r="B93" s="30"/>
      <c r="C93" s="30"/>
      <c r="D93" s="7"/>
      <c r="E93" s="7"/>
      <c r="F93" s="7"/>
      <c r="G93" s="30"/>
      <c r="H93" s="7"/>
      <c r="I93" s="8"/>
    </row>
    <row x14ac:dyDescent="0.25" r="94" customHeight="1" ht="14.25">
      <c r="A94" s="30"/>
      <c r="B94" s="30"/>
      <c r="C94" s="30"/>
      <c r="D94" s="7"/>
      <c r="E94" s="7"/>
      <c r="F94" s="7"/>
      <c r="G94" s="30"/>
      <c r="H94" s="7"/>
      <c r="I94" s="8"/>
    </row>
    <row x14ac:dyDescent="0.25" r="95" customHeight="1" ht="14.25">
      <c r="A95" s="30"/>
      <c r="B95" s="30"/>
      <c r="C95" s="30"/>
      <c r="D95" s="7"/>
      <c r="E95" s="7"/>
      <c r="F95" s="7"/>
      <c r="G95" s="30"/>
      <c r="H95" s="7"/>
      <c r="I95" s="8"/>
    </row>
    <row x14ac:dyDescent="0.25" r="96" customHeight="1" ht="14.25">
      <c r="A96" s="30"/>
      <c r="B96" s="30"/>
      <c r="C96" s="30"/>
      <c r="D96" s="7"/>
      <c r="E96" s="7"/>
      <c r="F96" s="7"/>
      <c r="G96" s="30"/>
      <c r="H96" s="7"/>
      <c r="I96" s="8"/>
    </row>
    <row x14ac:dyDescent="0.25" r="97" customHeight="1" ht="14.25">
      <c r="A97" s="30"/>
      <c r="B97" s="30"/>
      <c r="C97" s="30"/>
      <c r="D97" s="7"/>
      <c r="E97" s="7"/>
      <c r="F97" s="7"/>
      <c r="G97" s="30"/>
      <c r="H97" s="7"/>
      <c r="I97" s="8"/>
    </row>
    <row x14ac:dyDescent="0.25" r="98" customHeight="1" ht="14.25">
      <c r="A98" s="30"/>
      <c r="B98" s="30"/>
      <c r="C98" s="30"/>
      <c r="D98" s="7"/>
      <c r="E98" s="7"/>
      <c r="F98" s="7"/>
      <c r="G98" s="30"/>
      <c r="H98" s="7"/>
      <c r="I98" s="8"/>
    </row>
    <row x14ac:dyDescent="0.25" r="99" customHeight="1" ht="14.25">
      <c r="A99" s="30"/>
      <c r="B99" s="30"/>
      <c r="C99" s="30"/>
      <c r="D99" s="7"/>
      <c r="E99" s="7"/>
      <c r="F99" s="7"/>
      <c r="G99" s="30"/>
      <c r="H99" s="7"/>
      <c r="I99" s="8"/>
    </row>
    <row x14ac:dyDescent="0.25" r="100" customHeight="1" ht="14.25">
      <c r="A100" s="30"/>
      <c r="B100" s="30"/>
      <c r="C100" s="30"/>
      <c r="D100" s="7"/>
      <c r="E100" s="7"/>
      <c r="F100" s="7"/>
      <c r="G100" s="30"/>
      <c r="H100" s="7"/>
      <c r="I100" s="8"/>
    </row>
    <row x14ac:dyDescent="0.25" r="101" customHeight="1" ht="14.25">
      <c r="A101" s="30"/>
      <c r="B101" s="30"/>
      <c r="C101" s="30"/>
      <c r="D101" s="7"/>
      <c r="E101" s="7"/>
      <c r="F101" s="7"/>
      <c r="G101" s="30"/>
      <c r="H101" s="7"/>
      <c r="I101" s="8"/>
    </row>
    <row x14ac:dyDescent="0.25" r="102" customHeight="1" ht="14.25">
      <c r="A102" s="30"/>
      <c r="B102" s="30"/>
      <c r="C102" s="30"/>
      <c r="D102" s="7"/>
      <c r="E102" s="7"/>
      <c r="F102" s="7"/>
      <c r="G102" s="30"/>
      <c r="H102" s="7"/>
      <c r="I102" s="8"/>
    </row>
    <row x14ac:dyDescent="0.25" r="103" customHeight="1" ht="14.25">
      <c r="A103" s="30"/>
      <c r="B103" s="30"/>
      <c r="C103" s="30"/>
      <c r="D103" s="7"/>
      <c r="E103" s="7"/>
      <c r="F103" s="7"/>
      <c r="G103" s="30"/>
      <c r="H103" s="7"/>
      <c r="I103" s="8"/>
    </row>
    <row x14ac:dyDescent="0.25" r="104" customHeight="1" ht="14.25">
      <c r="A104" s="30"/>
      <c r="B104" s="30"/>
      <c r="C104" s="30"/>
      <c r="D104" s="7"/>
      <c r="E104" s="7"/>
      <c r="F104" s="7"/>
      <c r="G104" s="30"/>
      <c r="H104" s="7"/>
      <c r="I104" s="8"/>
    </row>
    <row x14ac:dyDescent="0.25" r="105" customHeight="1" ht="14.25">
      <c r="A105" s="30"/>
      <c r="B105" s="30"/>
      <c r="C105" s="30"/>
      <c r="D105" s="7"/>
      <c r="E105" s="7"/>
      <c r="F105" s="7"/>
      <c r="G105" s="30"/>
      <c r="H105" s="7"/>
      <c r="I105" s="8"/>
    </row>
    <row x14ac:dyDescent="0.25" r="106" customHeight="1" ht="14.25">
      <c r="A106" s="30"/>
      <c r="B106" s="30"/>
      <c r="C106" s="30"/>
      <c r="D106" s="7"/>
      <c r="E106" s="7"/>
      <c r="F106" s="7"/>
      <c r="G106" s="30"/>
      <c r="H106" s="7"/>
      <c r="I106" s="8"/>
    </row>
    <row x14ac:dyDescent="0.25" r="107" customHeight="1" ht="14.25">
      <c r="A107" s="30"/>
      <c r="B107" s="30"/>
      <c r="C107" s="30"/>
      <c r="D107" s="7"/>
      <c r="E107" s="7"/>
      <c r="F107" s="7"/>
      <c r="G107" s="30"/>
      <c r="H107" s="7"/>
      <c r="I107" s="8"/>
    </row>
    <row x14ac:dyDescent="0.25" r="108" customHeight="1" ht="14.25">
      <c r="A108" s="30"/>
      <c r="B108" s="30"/>
      <c r="C108" s="30"/>
      <c r="D108" s="7"/>
      <c r="E108" s="7"/>
      <c r="F108" s="7"/>
      <c r="G108" s="30"/>
      <c r="H108" s="7"/>
      <c r="I108" s="8"/>
    </row>
    <row x14ac:dyDescent="0.25" r="109" customHeight="1" ht="14.25">
      <c r="A109" s="30"/>
      <c r="B109" s="30"/>
      <c r="C109" s="30"/>
      <c r="D109" s="7"/>
      <c r="E109" s="7"/>
      <c r="F109" s="7"/>
      <c r="G109" s="30"/>
      <c r="H109" s="7"/>
      <c r="I109" s="8"/>
    </row>
    <row x14ac:dyDescent="0.25" r="110" customHeight="1" ht="14.25">
      <c r="A110" s="30"/>
      <c r="B110" s="30"/>
      <c r="C110" s="30"/>
      <c r="D110" s="7"/>
      <c r="E110" s="7"/>
      <c r="F110" s="7"/>
      <c r="G110" s="30"/>
      <c r="H110" s="7"/>
      <c r="I110" s="8"/>
    </row>
    <row x14ac:dyDescent="0.25" r="111" customHeight="1" ht="14.25">
      <c r="A111" s="30"/>
      <c r="B111" s="30"/>
      <c r="C111" s="30"/>
      <c r="D111" s="7"/>
      <c r="E111" s="7"/>
      <c r="F111" s="7"/>
      <c r="G111" s="30"/>
      <c r="H111" s="7"/>
      <c r="I111" s="8"/>
    </row>
    <row x14ac:dyDescent="0.25" r="112" customHeight="1" ht="14.25">
      <c r="A112" s="30"/>
      <c r="B112" s="30"/>
      <c r="C112" s="30"/>
      <c r="D112" s="7"/>
      <c r="E112" s="7"/>
      <c r="F112" s="7"/>
      <c r="G112" s="30"/>
      <c r="H112" s="7"/>
      <c r="I112" s="8"/>
    </row>
    <row x14ac:dyDescent="0.25" r="113" customHeight="1" ht="14.25">
      <c r="A113" s="30"/>
      <c r="B113" s="30"/>
      <c r="C113" s="30"/>
      <c r="D113" s="7"/>
      <c r="E113" s="7"/>
      <c r="F113" s="7"/>
      <c r="G113" s="30"/>
      <c r="H113" s="7"/>
      <c r="I113" s="8"/>
    </row>
    <row x14ac:dyDescent="0.25" r="114" customHeight="1" ht="14.25">
      <c r="A114" s="30"/>
      <c r="B114" s="30"/>
      <c r="C114" s="30"/>
      <c r="D114" s="7"/>
      <c r="E114" s="7"/>
      <c r="F114" s="7"/>
      <c r="G114" s="30"/>
      <c r="H114" s="7"/>
      <c r="I114" s="8"/>
    </row>
    <row x14ac:dyDescent="0.25" r="115" customHeight="1" ht="14.25">
      <c r="A115" s="30"/>
      <c r="B115" s="30"/>
      <c r="C115" s="30"/>
      <c r="D115" s="7"/>
      <c r="E115" s="7"/>
      <c r="F115" s="7"/>
      <c r="G115" s="30"/>
      <c r="H115" s="7"/>
      <c r="I115" s="8"/>
    </row>
    <row x14ac:dyDescent="0.25" r="116" customHeight="1" ht="14.25">
      <c r="A116" s="30"/>
      <c r="B116" s="30"/>
      <c r="C116" s="30"/>
      <c r="D116" s="7"/>
      <c r="E116" s="7"/>
      <c r="F116" s="7"/>
      <c r="G116" s="30"/>
      <c r="H116" s="7"/>
      <c r="I116" s="8"/>
    </row>
    <row x14ac:dyDescent="0.25" r="117" customHeight="1" ht="14.25">
      <c r="A117" s="30"/>
      <c r="B117" s="30"/>
      <c r="C117" s="30"/>
      <c r="D117" s="7"/>
      <c r="E117" s="7"/>
      <c r="F117" s="7"/>
      <c r="G117" s="30"/>
      <c r="H117" s="7"/>
      <c r="I117" s="8"/>
    </row>
    <row x14ac:dyDescent="0.25" r="118" customHeight="1" ht="14.25">
      <c r="A118" s="30"/>
      <c r="B118" s="30"/>
      <c r="C118" s="30"/>
      <c r="D118" s="7"/>
      <c r="E118" s="7"/>
      <c r="F118" s="7"/>
      <c r="G118" s="30"/>
      <c r="H118" s="7"/>
      <c r="I118" s="8"/>
    </row>
    <row x14ac:dyDescent="0.25" r="119" customHeight="1" ht="14.25">
      <c r="A119" s="30"/>
      <c r="B119" s="30"/>
      <c r="C119" s="30"/>
      <c r="D119" s="7"/>
      <c r="E119" s="7"/>
      <c r="F119" s="7"/>
      <c r="G119" s="30"/>
      <c r="H119" s="7"/>
      <c r="I119" s="8"/>
    </row>
    <row x14ac:dyDescent="0.25" r="120" customHeight="1" ht="14.25">
      <c r="A120" s="30"/>
      <c r="B120" s="30"/>
      <c r="C120" s="30"/>
      <c r="D120" s="7"/>
      <c r="E120" s="7"/>
      <c r="F120" s="7"/>
      <c r="G120" s="30"/>
      <c r="H120" s="7"/>
      <c r="I120" s="8"/>
    </row>
    <row x14ac:dyDescent="0.25" r="121" customHeight="1" ht="14.25">
      <c r="A121" s="30"/>
      <c r="B121" s="30"/>
      <c r="C121" s="30"/>
      <c r="D121" s="7"/>
      <c r="E121" s="7"/>
      <c r="F121" s="7"/>
      <c r="G121" s="30"/>
      <c r="H121" s="7"/>
      <c r="I121" s="8"/>
    </row>
    <row x14ac:dyDescent="0.25" r="122" customHeight="1" ht="14.25">
      <c r="A122" s="30"/>
      <c r="B122" s="30"/>
      <c r="C122" s="30"/>
      <c r="D122" s="7"/>
      <c r="E122" s="7"/>
      <c r="F122" s="7"/>
      <c r="G122" s="30"/>
      <c r="H122" s="7"/>
      <c r="I122" s="8"/>
    </row>
    <row x14ac:dyDescent="0.25" r="123" customHeight="1" ht="14.25">
      <c r="A123" s="30"/>
      <c r="B123" s="30"/>
      <c r="C123" s="30"/>
      <c r="D123" s="7"/>
      <c r="E123" s="7"/>
      <c r="F123" s="7"/>
      <c r="G123" s="30"/>
      <c r="H123" s="7"/>
      <c r="I123" s="8"/>
    </row>
    <row x14ac:dyDescent="0.25" r="124" customHeight="1" ht="14.25">
      <c r="A124" s="30"/>
      <c r="B124" s="30"/>
      <c r="C124" s="30"/>
      <c r="D124" s="7"/>
      <c r="E124" s="7"/>
      <c r="F124" s="7"/>
      <c r="G124" s="30"/>
      <c r="H124" s="7"/>
      <c r="I124" s="8"/>
    </row>
    <row x14ac:dyDescent="0.25" r="125" customHeight="1" ht="14.25">
      <c r="A125" s="30"/>
      <c r="B125" s="30"/>
      <c r="C125" s="30"/>
      <c r="D125" s="7"/>
      <c r="E125" s="7"/>
      <c r="F125" s="7"/>
      <c r="G125" s="30"/>
      <c r="H125" s="7"/>
      <c r="I125" s="8"/>
    </row>
    <row x14ac:dyDescent="0.25" r="126" customHeight="1" ht="14.25">
      <c r="A126" s="30"/>
      <c r="B126" s="30"/>
      <c r="C126" s="30"/>
      <c r="D126" s="7"/>
      <c r="E126" s="7"/>
      <c r="F126" s="7"/>
      <c r="G126" s="30"/>
      <c r="H126" s="7"/>
      <c r="I126" s="8"/>
    </row>
    <row x14ac:dyDescent="0.25" r="127" customHeight="1" ht="14.25">
      <c r="A127" s="30"/>
      <c r="B127" s="30"/>
      <c r="C127" s="30"/>
      <c r="D127" s="7"/>
      <c r="E127" s="7"/>
      <c r="F127" s="7"/>
      <c r="G127" s="30"/>
      <c r="H127" s="7"/>
      <c r="I127" s="8"/>
    </row>
    <row x14ac:dyDescent="0.25" r="128" customHeight="1" ht="14.25">
      <c r="A128" s="30"/>
      <c r="B128" s="30"/>
      <c r="C128" s="30"/>
      <c r="D128" s="7"/>
      <c r="E128" s="7"/>
      <c r="F128" s="7"/>
      <c r="G128" s="30"/>
      <c r="H128" s="7"/>
      <c r="I128" s="8"/>
    </row>
    <row x14ac:dyDescent="0.25" r="129" customHeight="1" ht="14.25">
      <c r="A129" s="30"/>
      <c r="B129" s="30"/>
      <c r="C129" s="30"/>
      <c r="D129" s="7"/>
      <c r="E129" s="7"/>
      <c r="F129" s="7"/>
      <c r="G129" s="30"/>
      <c r="H129" s="7"/>
      <c r="I129" s="8"/>
    </row>
    <row x14ac:dyDescent="0.25" r="130" customHeight="1" ht="14.25">
      <c r="A130" s="30"/>
      <c r="B130" s="30"/>
      <c r="C130" s="30"/>
      <c r="D130" s="7"/>
      <c r="E130" s="7"/>
      <c r="F130" s="7"/>
      <c r="G130" s="30"/>
      <c r="H130" s="7"/>
      <c r="I130" s="8"/>
    </row>
    <row x14ac:dyDescent="0.25" r="131" customHeight="1" ht="14.25">
      <c r="A131" s="30"/>
      <c r="B131" s="30"/>
      <c r="C131" s="30"/>
      <c r="D131" s="7"/>
      <c r="E131" s="7"/>
      <c r="F131" s="7"/>
      <c r="G131" s="30"/>
      <c r="H131" s="7"/>
      <c r="I131" s="8"/>
    </row>
    <row x14ac:dyDescent="0.25" r="132" customHeight="1" ht="14.25">
      <c r="A132" s="30"/>
      <c r="B132" s="30"/>
      <c r="C132" s="30"/>
      <c r="D132" s="7"/>
      <c r="E132" s="7"/>
      <c r="F132" s="7"/>
      <c r="G132" s="30"/>
      <c r="H132" s="7"/>
      <c r="I132" s="8"/>
    </row>
    <row x14ac:dyDescent="0.25" r="133" customHeight="1" ht="14.25">
      <c r="A133" s="30"/>
      <c r="B133" s="30"/>
      <c r="C133" s="30"/>
      <c r="D133" s="7"/>
      <c r="E133" s="7"/>
      <c r="F133" s="7"/>
      <c r="G133" s="30"/>
      <c r="H133" s="7"/>
      <c r="I133" s="8"/>
    </row>
    <row x14ac:dyDescent="0.25" r="134" customHeight="1" ht="14.25">
      <c r="A134" s="30"/>
      <c r="B134" s="30"/>
      <c r="C134" s="30"/>
      <c r="D134" s="7"/>
      <c r="E134" s="7"/>
      <c r="F134" s="7"/>
      <c r="G134" s="30"/>
      <c r="H134" s="7"/>
      <c r="I134" s="8"/>
    </row>
    <row x14ac:dyDescent="0.25" r="135" customHeight="1" ht="14.25">
      <c r="A135" s="30"/>
      <c r="B135" s="30"/>
      <c r="C135" s="30"/>
      <c r="D135" s="7"/>
      <c r="E135" s="7"/>
      <c r="F135" s="7"/>
      <c r="G135" s="30"/>
      <c r="H135" s="7"/>
      <c r="I135" s="8"/>
    </row>
    <row x14ac:dyDescent="0.25" r="136" customHeight="1" ht="14.25">
      <c r="A136" s="30"/>
      <c r="B136" s="30"/>
      <c r="C136" s="30"/>
      <c r="D136" s="7"/>
      <c r="E136" s="7"/>
      <c r="F136" s="7"/>
      <c r="G136" s="30"/>
      <c r="H136" s="7"/>
      <c r="I136" s="8"/>
    </row>
    <row x14ac:dyDescent="0.25" r="137" customHeight="1" ht="14.25">
      <c r="A137" s="30"/>
      <c r="B137" s="30"/>
      <c r="C137" s="30"/>
      <c r="D137" s="7"/>
      <c r="E137" s="7"/>
      <c r="F137" s="7"/>
      <c r="G137" s="30"/>
      <c r="H137" s="7"/>
      <c r="I137" s="8"/>
    </row>
    <row x14ac:dyDescent="0.25" r="138" customHeight="1" ht="14.25">
      <c r="A138" s="30"/>
      <c r="B138" s="30"/>
      <c r="C138" s="30"/>
      <c r="D138" s="7"/>
      <c r="E138" s="7"/>
      <c r="F138" s="7"/>
      <c r="G138" s="30"/>
      <c r="H138" s="7"/>
      <c r="I138" s="8"/>
    </row>
    <row x14ac:dyDescent="0.25" r="139" customHeight="1" ht="14.25">
      <c r="A139" s="30"/>
      <c r="B139" s="30"/>
      <c r="C139" s="30"/>
      <c r="D139" s="7"/>
      <c r="E139" s="7"/>
      <c r="F139" s="7"/>
      <c r="G139" s="30"/>
      <c r="H139" s="7"/>
      <c r="I139" s="8"/>
    </row>
    <row x14ac:dyDescent="0.25" r="140" customHeight="1" ht="14.25">
      <c r="A140" s="30"/>
      <c r="B140" s="30"/>
      <c r="C140" s="30"/>
      <c r="D140" s="7"/>
      <c r="E140" s="7"/>
      <c r="F140" s="7"/>
      <c r="G140" s="30"/>
      <c r="H140" s="7"/>
      <c r="I140" s="8"/>
    </row>
    <row x14ac:dyDescent="0.25" r="141" customHeight="1" ht="14.25">
      <c r="A141" s="30"/>
      <c r="B141" s="30"/>
      <c r="C141" s="30"/>
      <c r="D141" s="7"/>
      <c r="E141" s="7"/>
      <c r="F141" s="7"/>
      <c r="G141" s="30"/>
      <c r="H141" s="7"/>
      <c r="I141" s="8"/>
    </row>
    <row x14ac:dyDescent="0.25" r="142" customHeight="1" ht="14.25">
      <c r="A142" s="30"/>
      <c r="B142" s="30"/>
      <c r="C142" s="30"/>
      <c r="D142" s="7"/>
      <c r="E142" s="7"/>
      <c r="F142" s="7"/>
      <c r="G142" s="30"/>
      <c r="H142" s="7"/>
      <c r="I142" s="8"/>
    </row>
    <row x14ac:dyDescent="0.25" r="143" customHeight="1" ht="14.25">
      <c r="A143" s="30"/>
      <c r="B143" s="30"/>
      <c r="C143" s="30"/>
      <c r="D143" s="7"/>
      <c r="E143" s="7"/>
      <c r="F143" s="7"/>
      <c r="G143" s="30"/>
      <c r="H143" s="7"/>
      <c r="I143" s="8"/>
    </row>
    <row x14ac:dyDescent="0.25" r="144" customHeight="1" ht="14.25">
      <c r="A144" s="30"/>
      <c r="B144" s="30"/>
      <c r="C144" s="30"/>
      <c r="D144" s="7"/>
      <c r="E144" s="7"/>
      <c r="F144" s="7"/>
      <c r="G144" s="30"/>
      <c r="H144" s="7"/>
      <c r="I144" s="8"/>
    </row>
    <row x14ac:dyDescent="0.25" r="145" customHeight="1" ht="14.25">
      <c r="A145" s="30"/>
      <c r="B145" s="30"/>
      <c r="C145" s="30"/>
      <c r="D145" s="7"/>
      <c r="E145" s="7"/>
      <c r="F145" s="7"/>
      <c r="G145" s="30"/>
      <c r="H145" s="7"/>
      <c r="I145" s="8"/>
    </row>
    <row x14ac:dyDescent="0.25" r="146" customHeight="1" ht="14.25">
      <c r="A146" s="30"/>
      <c r="B146" s="30"/>
      <c r="C146" s="30"/>
      <c r="D146" s="7"/>
      <c r="E146" s="7"/>
      <c r="F146" s="7"/>
      <c r="G146" s="30"/>
      <c r="H146" s="7"/>
      <c r="I146" s="8"/>
    </row>
    <row x14ac:dyDescent="0.25" r="147" customHeight="1" ht="14.25">
      <c r="A147" s="30"/>
      <c r="B147" s="30"/>
      <c r="C147" s="30"/>
      <c r="D147" s="7"/>
      <c r="E147" s="7"/>
      <c r="F147" s="7"/>
      <c r="G147" s="30"/>
      <c r="H147" s="7"/>
      <c r="I147" s="8"/>
    </row>
    <row x14ac:dyDescent="0.25" r="148" customHeight="1" ht="14.25">
      <c r="A148" s="30"/>
      <c r="B148" s="30"/>
      <c r="C148" s="30"/>
      <c r="D148" s="7"/>
      <c r="E148" s="7"/>
      <c r="F148" s="7"/>
      <c r="G148" s="30"/>
      <c r="H148" s="7"/>
      <c r="I148" s="8"/>
    </row>
    <row x14ac:dyDescent="0.25" r="149" customHeight="1" ht="14.25">
      <c r="A149" s="30"/>
      <c r="B149" s="30"/>
      <c r="C149" s="30"/>
      <c r="D149" s="7"/>
      <c r="E149" s="7"/>
      <c r="F149" s="7"/>
      <c r="G149" s="30"/>
      <c r="H149" s="7"/>
      <c r="I149" s="8"/>
    </row>
    <row x14ac:dyDescent="0.25" r="150" customHeight="1" ht="14.25">
      <c r="A150" s="30"/>
      <c r="B150" s="30"/>
      <c r="C150" s="30"/>
      <c r="D150" s="7"/>
      <c r="E150" s="7"/>
      <c r="F150" s="7"/>
      <c r="G150" s="30"/>
      <c r="H150" s="7"/>
      <c r="I150" s="8"/>
    </row>
    <row x14ac:dyDescent="0.25" r="151" customHeight="1" ht="14.25">
      <c r="A151" s="30"/>
      <c r="B151" s="30"/>
      <c r="C151" s="30"/>
      <c r="D151" s="7"/>
      <c r="E151" s="7"/>
      <c r="F151" s="7"/>
      <c r="G151" s="30"/>
      <c r="H151" s="7"/>
      <c r="I151" s="8"/>
    </row>
    <row x14ac:dyDescent="0.25" r="152" customHeight="1" ht="14.25">
      <c r="A152" s="30"/>
      <c r="B152" s="30"/>
      <c r="C152" s="30"/>
      <c r="D152" s="7"/>
      <c r="E152" s="7"/>
      <c r="F152" s="7"/>
      <c r="G152" s="30"/>
      <c r="H152" s="7"/>
      <c r="I152" s="8"/>
    </row>
    <row x14ac:dyDescent="0.25" r="153" customHeight="1" ht="14.25">
      <c r="A153" s="30"/>
      <c r="B153" s="30"/>
      <c r="C153" s="30"/>
      <c r="D153" s="7"/>
      <c r="E153" s="7"/>
      <c r="F153" s="7"/>
      <c r="G153" s="30"/>
      <c r="H153" s="7"/>
      <c r="I153" s="8"/>
    </row>
    <row x14ac:dyDescent="0.25" r="154" customHeight="1" ht="14.25">
      <c r="A154" s="30"/>
      <c r="B154" s="30"/>
      <c r="C154" s="30"/>
      <c r="D154" s="7"/>
      <c r="E154" s="7"/>
      <c r="F154" s="7"/>
      <c r="G154" s="30"/>
      <c r="H154" s="7"/>
      <c r="I154" s="8"/>
    </row>
    <row x14ac:dyDescent="0.25" r="155" customHeight="1" ht="14.25">
      <c r="A155" s="30"/>
      <c r="B155" s="30"/>
      <c r="C155" s="30"/>
      <c r="D155" s="7"/>
      <c r="E155" s="7"/>
      <c r="F155" s="7"/>
      <c r="G155" s="30"/>
      <c r="H155" s="7"/>
      <c r="I155" s="8"/>
    </row>
    <row x14ac:dyDescent="0.25" r="156" customHeight="1" ht="14.25">
      <c r="A156" s="30"/>
      <c r="B156" s="30"/>
      <c r="C156" s="30"/>
      <c r="D156" s="7"/>
      <c r="E156" s="7"/>
      <c r="F156" s="7"/>
      <c r="G156" s="30"/>
      <c r="H156" s="7"/>
      <c r="I156" s="8"/>
    </row>
    <row x14ac:dyDescent="0.25" r="157" customHeight="1" ht="14.25">
      <c r="A157" s="30"/>
      <c r="B157" s="30"/>
      <c r="C157" s="30"/>
      <c r="D157" s="7"/>
      <c r="E157" s="7"/>
      <c r="F157" s="7"/>
      <c r="G157" s="30"/>
      <c r="H157" s="7"/>
      <c r="I157" s="8"/>
    </row>
    <row x14ac:dyDescent="0.25" r="158" customHeight="1" ht="14.25">
      <c r="A158" s="30"/>
      <c r="B158" s="30"/>
      <c r="C158" s="30"/>
      <c r="D158" s="7"/>
      <c r="E158" s="7"/>
      <c r="F158" s="7"/>
      <c r="G158" s="30"/>
      <c r="H158" s="7"/>
      <c r="I158" s="8"/>
    </row>
    <row x14ac:dyDescent="0.25" r="159" customHeight="1" ht="14.25">
      <c r="A159" s="30"/>
      <c r="B159" s="30"/>
      <c r="C159" s="30"/>
      <c r="D159" s="7"/>
      <c r="E159" s="7"/>
      <c r="F159" s="7"/>
      <c r="G159" s="30"/>
      <c r="H159" s="7"/>
      <c r="I159" s="8"/>
    </row>
    <row x14ac:dyDescent="0.25" r="160" customHeight="1" ht="14.25">
      <c r="A160" s="30"/>
      <c r="B160" s="30"/>
      <c r="C160" s="30"/>
      <c r="D160" s="7"/>
      <c r="E160" s="7"/>
      <c r="F160" s="7"/>
      <c r="G160" s="30"/>
      <c r="H160" s="7"/>
      <c r="I160" s="8"/>
    </row>
    <row x14ac:dyDescent="0.25" r="161" customHeight="1" ht="14.25">
      <c r="A161" s="30"/>
      <c r="B161" s="30"/>
      <c r="C161" s="30"/>
      <c r="D161" s="7"/>
      <c r="E161" s="7"/>
      <c r="F161" s="7"/>
      <c r="G161" s="30"/>
      <c r="H161" s="7"/>
      <c r="I161" s="8"/>
    </row>
    <row x14ac:dyDescent="0.25" r="162" customHeight="1" ht="14.25">
      <c r="A162" s="30"/>
      <c r="B162" s="30"/>
      <c r="C162" s="30"/>
      <c r="D162" s="7"/>
      <c r="E162" s="7"/>
      <c r="F162" s="7"/>
      <c r="G162" s="30"/>
      <c r="H162" s="7"/>
      <c r="I162" s="8"/>
    </row>
    <row x14ac:dyDescent="0.25" r="163" customHeight="1" ht="14.25">
      <c r="A163" s="30"/>
      <c r="B163" s="30"/>
      <c r="C163" s="30"/>
      <c r="D163" s="7"/>
      <c r="E163" s="7"/>
      <c r="F163" s="7"/>
      <c r="G163" s="30"/>
      <c r="H163" s="7"/>
      <c r="I163" s="8"/>
    </row>
    <row x14ac:dyDescent="0.25" r="164" customHeight="1" ht="14.25">
      <c r="A164" s="30"/>
      <c r="B164" s="30"/>
      <c r="C164" s="30"/>
      <c r="D164" s="7"/>
      <c r="E164" s="7"/>
      <c r="F164" s="7"/>
      <c r="G164" s="30"/>
      <c r="H164" s="7"/>
      <c r="I164" s="8"/>
    </row>
    <row x14ac:dyDescent="0.25" r="165" customHeight="1" ht="14.25">
      <c r="A165" s="30"/>
      <c r="B165" s="30"/>
      <c r="C165" s="30"/>
      <c r="D165" s="7"/>
      <c r="E165" s="7"/>
      <c r="F165" s="7"/>
      <c r="G165" s="30"/>
      <c r="H165" s="7"/>
      <c r="I165" s="8"/>
    </row>
    <row x14ac:dyDescent="0.25" r="166" customHeight="1" ht="14.25">
      <c r="A166" s="30"/>
      <c r="B166" s="30"/>
      <c r="C166" s="30"/>
      <c r="D166" s="7"/>
      <c r="E166" s="7"/>
      <c r="F166" s="7"/>
      <c r="G166" s="30"/>
      <c r="H166" s="7"/>
      <c r="I166" s="8"/>
    </row>
    <row x14ac:dyDescent="0.25" r="167" customHeight="1" ht="14.25">
      <c r="A167" s="30"/>
      <c r="B167" s="30"/>
      <c r="C167" s="30"/>
      <c r="D167" s="7"/>
      <c r="E167" s="7"/>
      <c r="F167" s="7"/>
      <c r="G167" s="30"/>
      <c r="H167" s="7"/>
      <c r="I167" s="8"/>
    </row>
    <row x14ac:dyDescent="0.25" r="168" customHeight="1" ht="14.25">
      <c r="A168" s="30"/>
      <c r="B168" s="30"/>
      <c r="C168" s="30"/>
      <c r="D168" s="7"/>
      <c r="E168" s="7"/>
      <c r="F168" s="7"/>
      <c r="G168" s="30"/>
      <c r="H168" s="7"/>
      <c r="I168" s="8"/>
    </row>
    <row x14ac:dyDescent="0.25" r="169" customHeight="1" ht="14.25">
      <c r="A169" s="30"/>
      <c r="B169" s="30"/>
      <c r="C169" s="30"/>
      <c r="D169" s="7"/>
      <c r="E169" s="7"/>
      <c r="F169" s="7"/>
      <c r="G169" s="30"/>
      <c r="H169" s="7"/>
      <c r="I169" s="8"/>
    </row>
    <row x14ac:dyDescent="0.25" r="170" customHeight="1" ht="14.25">
      <c r="A170" s="30"/>
      <c r="B170" s="30"/>
      <c r="C170" s="30"/>
      <c r="D170" s="7"/>
      <c r="E170" s="7"/>
      <c r="F170" s="7"/>
      <c r="G170" s="30"/>
      <c r="H170" s="7"/>
      <c r="I170" s="8"/>
    </row>
    <row x14ac:dyDescent="0.25" r="171" customHeight="1" ht="14.25">
      <c r="A171" s="30"/>
      <c r="B171" s="30"/>
      <c r="C171" s="30"/>
      <c r="D171" s="7"/>
      <c r="E171" s="7"/>
      <c r="F171" s="7"/>
      <c r="G171" s="30"/>
      <c r="H171" s="7"/>
      <c r="I171" s="8"/>
    </row>
    <row x14ac:dyDescent="0.25" r="172" customHeight="1" ht="14.25">
      <c r="A172" s="30"/>
      <c r="B172" s="30"/>
      <c r="C172" s="30"/>
      <c r="D172" s="7"/>
      <c r="E172" s="7"/>
      <c r="F172" s="7"/>
      <c r="G172" s="30"/>
      <c r="H172" s="7"/>
      <c r="I172" s="8"/>
    </row>
    <row x14ac:dyDescent="0.25" r="173" customHeight="1" ht="14.25">
      <c r="A173" s="30"/>
      <c r="B173" s="30"/>
      <c r="C173" s="30"/>
      <c r="D173" s="7"/>
      <c r="E173" s="7"/>
      <c r="F173" s="7"/>
      <c r="G173" s="30"/>
      <c r="H173" s="7"/>
      <c r="I173" s="8"/>
    </row>
    <row x14ac:dyDescent="0.25" r="174" customHeight="1" ht="14.25">
      <c r="A174" s="30"/>
      <c r="B174" s="30"/>
      <c r="C174" s="30"/>
      <c r="D174" s="7"/>
      <c r="E174" s="7"/>
      <c r="F174" s="7"/>
      <c r="G174" s="30"/>
      <c r="H174" s="7"/>
      <c r="I174" s="8"/>
    </row>
    <row x14ac:dyDescent="0.25" r="175" customHeight="1" ht="14.25">
      <c r="A175" s="30"/>
      <c r="B175" s="30"/>
      <c r="C175" s="30"/>
      <c r="D175" s="7"/>
      <c r="E175" s="7"/>
      <c r="F175" s="7"/>
      <c r="G175" s="30"/>
      <c r="H175" s="7"/>
      <c r="I175" s="8"/>
    </row>
    <row x14ac:dyDescent="0.25" r="176" customHeight="1" ht="14.25">
      <c r="A176" s="30"/>
      <c r="B176" s="30"/>
      <c r="C176" s="30"/>
      <c r="D176" s="7"/>
      <c r="E176" s="7"/>
      <c r="F176" s="7"/>
      <c r="G176" s="30"/>
      <c r="H176" s="7"/>
      <c r="I176" s="8"/>
    </row>
    <row x14ac:dyDescent="0.25" r="177" customHeight="1" ht="14.25">
      <c r="A177" s="30"/>
      <c r="B177" s="30"/>
      <c r="C177" s="30"/>
      <c r="D177" s="7"/>
      <c r="E177" s="7"/>
      <c r="F177" s="7"/>
      <c r="G177" s="30"/>
      <c r="H177" s="7"/>
      <c r="I177" s="8"/>
    </row>
    <row x14ac:dyDescent="0.25" r="178" customHeight="1" ht="14.25">
      <c r="A178" s="30"/>
      <c r="B178" s="30"/>
      <c r="C178" s="30"/>
      <c r="D178" s="7"/>
      <c r="E178" s="7"/>
      <c r="F178" s="7"/>
      <c r="G178" s="30"/>
      <c r="H178" s="7"/>
      <c r="I178" s="8"/>
    </row>
    <row x14ac:dyDescent="0.25" r="179" customHeight="1" ht="14.25">
      <c r="A179" s="30"/>
      <c r="B179" s="30"/>
      <c r="C179" s="30"/>
      <c r="D179" s="7"/>
      <c r="E179" s="7"/>
      <c r="F179" s="7"/>
      <c r="G179" s="30"/>
      <c r="H179" s="7"/>
      <c r="I179" s="8"/>
    </row>
    <row x14ac:dyDescent="0.25" r="180" customHeight="1" ht="14.25">
      <c r="A180" s="30"/>
      <c r="B180" s="30"/>
      <c r="C180" s="30"/>
      <c r="D180" s="7"/>
      <c r="E180" s="7"/>
      <c r="F180" s="7"/>
      <c r="G180" s="30"/>
      <c r="H180" s="7"/>
      <c r="I180" s="8"/>
    </row>
    <row x14ac:dyDescent="0.25" r="181" customHeight="1" ht="14.25">
      <c r="A181" s="30"/>
      <c r="B181" s="30"/>
      <c r="C181" s="30"/>
      <c r="D181" s="7"/>
      <c r="E181" s="7"/>
      <c r="F181" s="7"/>
      <c r="G181" s="30"/>
      <c r="H181" s="7"/>
      <c r="I181" s="8"/>
    </row>
    <row x14ac:dyDescent="0.25" r="182" customHeight="1" ht="14.25">
      <c r="A182" s="30"/>
      <c r="B182" s="30"/>
      <c r="C182" s="30"/>
      <c r="D182" s="7"/>
      <c r="E182" s="7"/>
      <c r="F182" s="7"/>
      <c r="G182" s="30"/>
      <c r="H182" s="7"/>
      <c r="I182" s="8"/>
    </row>
    <row x14ac:dyDescent="0.25" r="183" customHeight="1" ht="14.25">
      <c r="A183" s="30"/>
      <c r="B183" s="30"/>
      <c r="C183" s="30"/>
      <c r="D183" s="7"/>
      <c r="E183" s="7"/>
      <c r="F183" s="7"/>
      <c r="G183" s="30"/>
      <c r="H183" s="7"/>
      <c r="I183" s="8"/>
    </row>
    <row x14ac:dyDescent="0.25" r="184" customHeight="1" ht="14.25">
      <c r="A184" s="30"/>
      <c r="B184" s="30"/>
      <c r="C184" s="30"/>
      <c r="D184" s="7"/>
      <c r="E184" s="7"/>
      <c r="F184" s="7"/>
      <c r="G184" s="30"/>
      <c r="H184" s="7"/>
      <c r="I184" s="8"/>
    </row>
    <row x14ac:dyDescent="0.25" r="185" customHeight="1" ht="14.25">
      <c r="A185" s="30"/>
      <c r="B185" s="30"/>
      <c r="C185" s="30"/>
      <c r="D185" s="7"/>
      <c r="E185" s="7"/>
      <c r="F185" s="7"/>
      <c r="G185" s="30"/>
      <c r="H185" s="7"/>
      <c r="I185" s="8"/>
    </row>
    <row x14ac:dyDescent="0.25" r="186" customHeight="1" ht="14.25">
      <c r="A186" s="30"/>
      <c r="B186" s="30"/>
      <c r="C186" s="30"/>
      <c r="D186" s="7"/>
      <c r="E186" s="7"/>
      <c r="F186" s="7"/>
      <c r="G186" s="30"/>
      <c r="H186" s="7"/>
      <c r="I186" s="8"/>
    </row>
    <row x14ac:dyDescent="0.25" r="187" customHeight="1" ht="14.25">
      <c r="A187" s="30"/>
      <c r="B187" s="30"/>
      <c r="C187" s="30"/>
      <c r="D187" s="7"/>
      <c r="E187" s="7"/>
      <c r="F187" s="7"/>
      <c r="G187" s="30"/>
      <c r="H187" s="7"/>
      <c r="I187" s="8"/>
    </row>
    <row x14ac:dyDescent="0.25" r="188" customHeight="1" ht="14.25">
      <c r="A188" s="30"/>
      <c r="B188" s="30"/>
      <c r="C188" s="30"/>
      <c r="D188" s="7"/>
      <c r="E188" s="7"/>
      <c r="F188" s="7"/>
      <c r="G188" s="30"/>
      <c r="H188" s="7"/>
      <c r="I188" s="8"/>
    </row>
    <row x14ac:dyDescent="0.25" r="189" customHeight="1" ht="14.25">
      <c r="A189" s="30"/>
      <c r="B189" s="30"/>
      <c r="C189" s="30"/>
      <c r="D189" s="7"/>
      <c r="E189" s="7"/>
      <c r="F189" s="7"/>
      <c r="G189" s="30"/>
      <c r="H189" s="7"/>
      <c r="I189" s="8"/>
    </row>
    <row x14ac:dyDescent="0.25" r="190" customHeight="1" ht="14.25">
      <c r="A190" s="30"/>
      <c r="B190" s="30"/>
      <c r="C190" s="30"/>
      <c r="D190" s="7"/>
      <c r="E190" s="7"/>
      <c r="F190" s="7"/>
      <c r="G190" s="30"/>
      <c r="H190" s="7"/>
      <c r="I190" s="8"/>
    </row>
    <row x14ac:dyDescent="0.25" r="191" customHeight="1" ht="14.25">
      <c r="A191" s="30"/>
      <c r="B191" s="30"/>
      <c r="C191" s="30"/>
      <c r="D191" s="7"/>
      <c r="E191" s="7"/>
      <c r="F191" s="7"/>
      <c r="G191" s="30"/>
      <c r="H191" s="7"/>
      <c r="I191" s="8"/>
    </row>
    <row x14ac:dyDescent="0.25" r="192" customHeight="1" ht="14.25">
      <c r="A192" s="30"/>
      <c r="B192" s="30"/>
      <c r="C192" s="30"/>
      <c r="D192" s="7"/>
      <c r="E192" s="7"/>
      <c r="F192" s="7"/>
      <c r="G192" s="30"/>
      <c r="H192" s="7"/>
      <c r="I192" s="8"/>
    </row>
    <row x14ac:dyDescent="0.25" r="193" customHeight="1" ht="14.25">
      <c r="A193" s="30"/>
      <c r="B193" s="30"/>
      <c r="C193" s="30"/>
      <c r="D193" s="7"/>
      <c r="E193" s="7"/>
      <c r="F193" s="7"/>
      <c r="G193" s="30"/>
      <c r="H193" s="7"/>
      <c r="I193" s="8"/>
    </row>
    <row x14ac:dyDescent="0.25" r="194" customHeight="1" ht="14.25">
      <c r="A194" s="30"/>
      <c r="B194" s="30"/>
      <c r="C194" s="30"/>
      <c r="D194" s="7"/>
      <c r="E194" s="7"/>
      <c r="F194" s="7"/>
      <c r="G194" s="30"/>
      <c r="H194" s="7"/>
      <c r="I194" s="8"/>
    </row>
    <row x14ac:dyDescent="0.25" r="195" customHeight="1" ht="14.25">
      <c r="A195" s="30"/>
      <c r="B195" s="30"/>
      <c r="C195" s="30"/>
      <c r="D195" s="7"/>
      <c r="E195" s="7"/>
      <c r="F195" s="7"/>
      <c r="G195" s="30"/>
      <c r="H195" s="7"/>
      <c r="I195" s="8"/>
    </row>
    <row x14ac:dyDescent="0.25" r="196" customHeight="1" ht="14.25">
      <c r="A196" s="30"/>
      <c r="B196" s="30"/>
      <c r="C196" s="30"/>
      <c r="D196" s="7"/>
      <c r="E196" s="7"/>
      <c r="F196" s="7"/>
      <c r="G196" s="30"/>
      <c r="H196" s="7"/>
      <c r="I196" s="8"/>
    </row>
    <row x14ac:dyDescent="0.25" r="197" customHeight="1" ht="14.25">
      <c r="A197" s="30"/>
      <c r="B197" s="30"/>
      <c r="C197" s="30"/>
      <c r="D197" s="7"/>
      <c r="E197" s="7"/>
      <c r="F197" s="7"/>
      <c r="G197" s="30"/>
      <c r="H197" s="7"/>
      <c r="I197" s="8"/>
    </row>
    <row x14ac:dyDescent="0.25" r="198" customHeight="1" ht="14.25">
      <c r="A198" s="30"/>
      <c r="B198" s="30"/>
      <c r="C198" s="30"/>
      <c r="D198" s="7"/>
      <c r="E198" s="7"/>
      <c r="F198" s="7"/>
      <c r="G198" s="30"/>
      <c r="H198" s="7"/>
      <c r="I198" s="8"/>
    </row>
    <row x14ac:dyDescent="0.25" r="199" customHeight="1" ht="14.25">
      <c r="A199" s="30"/>
      <c r="B199" s="30"/>
      <c r="C199" s="30"/>
      <c r="D199" s="7"/>
      <c r="E199" s="7"/>
      <c r="F199" s="7"/>
      <c r="G199" s="30"/>
      <c r="H199" s="7"/>
      <c r="I199" s="8"/>
    </row>
    <row x14ac:dyDescent="0.25" r="200" customHeight="1" ht="14.25">
      <c r="A200" s="30"/>
      <c r="B200" s="30"/>
      <c r="C200" s="30"/>
      <c r="D200" s="7"/>
      <c r="E200" s="7"/>
      <c r="F200" s="7"/>
      <c r="G200" s="30"/>
      <c r="H200" s="7"/>
      <c r="I200" s="8"/>
    </row>
    <row x14ac:dyDescent="0.25" r="201" customHeight="1" ht="14.25">
      <c r="A201" s="30"/>
      <c r="B201" s="30"/>
      <c r="C201" s="30"/>
      <c r="D201" s="7"/>
      <c r="E201" s="7"/>
      <c r="F201" s="7"/>
      <c r="G201" s="30"/>
      <c r="H201" s="7"/>
      <c r="I201" s="8"/>
    </row>
    <row x14ac:dyDescent="0.25" r="202" customHeight="1" ht="14.25">
      <c r="A202" s="30"/>
      <c r="B202" s="30"/>
      <c r="C202" s="30"/>
      <c r="D202" s="7"/>
      <c r="E202" s="7"/>
      <c r="F202" s="7"/>
      <c r="G202" s="30"/>
      <c r="H202" s="7"/>
      <c r="I202" s="8"/>
    </row>
    <row x14ac:dyDescent="0.25" r="203" customHeight="1" ht="14.25">
      <c r="A203" s="30"/>
      <c r="B203" s="30"/>
      <c r="C203" s="30"/>
      <c r="D203" s="7"/>
      <c r="E203" s="7"/>
      <c r="F203" s="7"/>
      <c r="G203" s="30"/>
      <c r="H203" s="7"/>
      <c r="I203" s="8"/>
    </row>
    <row x14ac:dyDescent="0.25" r="204" customHeight="1" ht="14.25">
      <c r="A204" s="30"/>
      <c r="B204" s="30"/>
      <c r="C204" s="30"/>
      <c r="D204" s="7"/>
      <c r="E204" s="7"/>
      <c r="F204" s="7"/>
      <c r="G204" s="30"/>
      <c r="H204" s="7"/>
      <c r="I204" s="8"/>
    </row>
    <row x14ac:dyDescent="0.25" r="205" customHeight="1" ht="14.25">
      <c r="A205" s="30"/>
      <c r="B205" s="30"/>
      <c r="C205" s="30"/>
      <c r="D205" s="7"/>
      <c r="E205" s="7"/>
      <c r="F205" s="7"/>
      <c r="G205" s="30"/>
      <c r="H205" s="7"/>
      <c r="I205" s="8"/>
    </row>
    <row x14ac:dyDescent="0.25" r="206" customHeight="1" ht="14.25">
      <c r="A206" s="30"/>
      <c r="B206" s="30"/>
      <c r="C206" s="30"/>
      <c r="D206" s="7"/>
      <c r="E206" s="7"/>
      <c r="F206" s="7"/>
      <c r="G206" s="30"/>
      <c r="H206" s="7"/>
      <c r="I206" s="8"/>
    </row>
    <row x14ac:dyDescent="0.25" r="207" customHeight="1" ht="14.25">
      <c r="A207" s="30"/>
      <c r="B207" s="30"/>
      <c r="C207" s="30"/>
      <c r="D207" s="7"/>
      <c r="E207" s="7"/>
      <c r="F207" s="7"/>
      <c r="G207" s="30"/>
      <c r="H207" s="7"/>
      <c r="I207" s="8"/>
    </row>
    <row x14ac:dyDescent="0.25" r="208" customHeight="1" ht="14.25">
      <c r="A208" s="30"/>
      <c r="B208" s="30"/>
      <c r="C208" s="30"/>
      <c r="D208" s="7"/>
      <c r="E208" s="7"/>
      <c r="F208" s="7"/>
      <c r="G208" s="30"/>
      <c r="H208" s="7"/>
      <c r="I208" s="8"/>
    </row>
    <row x14ac:dyDescent="0.25" r="209" customHeight="1" ht="14.25">
      <c r="A209" s="30"/>
      <c r="B209" s="30"/>
      <c r="C209" s="30"/>
      <c r="D209" s="7"/>
      <c r="E209" s="7"/>
      <c r="F209" s="7"/>
      <c r="G209" s="30"/>
      <c r="H209" s="7"/>
      <c r="I209" s="8"/>
    </row>
    <row x14ac:dyDescent="0.25" r="210" customHeight="1" ht="14.25">
      <c r="A210" s="30"/>
      <c r="B210" s="30"/>
      <c r="C210" s="30"/>
      <c r="D210" s="7"/>
      <c r="E210" s="7"/>
      <c r="F210" s="7"/>
      <c r="G210" s="30"/>
      <c r="H210" s="7"/>
      <c r="I210" s="8"/>
    </row>
    <row x14ac:dyDescent="0.25" r="211" customHeight="1" ht="14.25">
      <c r="A211" s="30"/>
      <c r="B211" s="30"/>
      <c r="C211" s="30"/>
      <c r="D211" s="7"/>
      <c r="E211" s="7"/>
      <c r="F211" s="7"/>
      <c r="G211" s="30"/>
      <c r="H211" s="7"/>
      <c r="I211" s="8"/>
    </row>
    <row x14ac:dyDescent="0.25" r="212" customHeight="1" ht="14.25">
      <c r="A212" s="30"/>
      <c r="B212" s="30"/>
      <c r="C212" s="30"/>
      <c r="D212" s="7"/>
      <c r="E212" s="7"/>
      <c r="F212" s="7"/>
      <c r="G212" s="30"/>
      <c r="H212" s="7"/>
      <c r="I212" s="8"/>
    </row>
    <row x14ac:dyDescent="0.25" r="213" customHeight="1" ht="14.25">
      <c r="A213" s="30"/>
      <c r="B213" s="30"/>
      <c r="C213" s="30"/>
      <c r="D213" s="7"/>
      <c r="E213" s="7"/>
      <c r="F213" s="7"/>
      <c r="G213" s="30"/>
      <c r="H213" s="7"/>
      <c r="I213" s="8"/>
    </row>
    <row x14ac:dyDescent="0.25" r="214" customHeight="1" ht="14.25">
      <c r="A214" s="30"/>
      <c r="B214" s="30"/>
      <c r="C214" s="30"/>
      <c r="D214" s="7"/>
      <c r="E214" s="7"/>
      <c r="F214" s="7"/>
      <c r="G214" s="30"/>
      <c r="H214" s="7"/>
      <c r="I214" s="8"/>
    </row>
    <row x14ac:dyDescent="0.25" r="215" customHeight="1" ht="14.25">
      <c r="A215" s="30"/>
      <c r="B215" s="30"/>
      <c r="C215" s="30"/>
      <c r="D215" s="7"/>
      <c r="E215" s="7"/>
      <c r="F215" s="7"/>
      <c r="G215" s="30"/>
      <c r="H215" s="7"/>
      <c r="I215" s="8"/>
    </row>
    <row x14ac:dyDescent="0.25" r="216" customHeight="1" ht="14.25">
      <c r="A216" s="30"/>
      <c r="B216" s="30"/>
      <c r="C216" s="30"/>
      <c r="D216" s="7"/>
      <c r="E216" s="7"/>
      <c r="F216" s="7"/>
      <c r="G216" s="30"/>
      <c r="H216" s="7"/>
      <c r="I216" s="8"/>
    </row>
    <row x14ac:dyDescent="0.25" r="217" customHeight="1" ht="14.25">
      <c r="A217" s="30"/>
      <c r="B217" s="30"/>
      <c r="C217" s="30"/>
      <c r="D217" s="7"/>
      <c r="E217" s="7"/>
      <c r="F217" s="7"/>
      <c r="G217" s="30"/>
      <c r="H217" s="7"/>
      <c r="I217" s="8"/>
    </row>
    <row x14ac:dyDescent="0.25" r="218" customHeight="1" ht="14.25">
      <c r="A218" s="30"/>
      <c r="B218" s="30"/>
      <c r="C218" s="30"/>
      <c r="D218" s="7"/>
      <c r="E218" s="7"/>
      <c r="F218" s="7"/>
      <c r="G218" s="30"/>
      <c r="H218" s="7"/>
      <c r="I218" s="8"/>
    </row>
    <row x14ac:dyDescent="0.25" r="219" customHeight="1" ht="14.25">
      <c r="A219" s="30"/>
      <c r="B219" s="30"/>
      <c r="C219" s="30"/>
      <c r="D219" s="7"/>
      <c r="E219" s="7"/>
      <c r="F219" s="7"/>
      <c r="G219" s="30"/>
      <c r="H219" s="7"/>
      <c r="I219" s="8"/>
    </row>
    <row x14ac:dyDescent="0.25" r="220" customHeight="1" ht="14.25">
      <c r="A220" s="30"/>
      <c r="B220" s="30"/>
      <c r="C220" s="30"/>
      <c r="D220" s="7"/>
      <c r="E220" s="7"/>
      <c r="F220" s="7"/>
      <c r="G220" s="30"/>
      <c r="H220" s="7"/>
      <c r="I220" s="8"/>
    </row>
    <row x14ac:dyDescent="0.25" r="221" customHeight="1" ht="14.25">
      <c r="A221" s="30"/>
      <c r="B221" s="30"/>
      <c r="C221" s="30"/>
      <c r="D221" s="7"/>
      <c r="E221" s="7"/>
      <c r="F221" s="7"/>
      <c r="G221" s="30"/>
      <c r="H221" s="7"/>
      <c r="I221" s="8"/>
    </row>
    <row x14ac:dyDescent="0.25" r="222" customHeight="1" ht="14.25">
      <c r="A222" s="30"/>
      <c r="B222" s="30"/>
      <c r="C222" s="30"/>
      <c r="D222" s="7"/>
      <c r="E222" s="7"/>
      <c r="F222" s="7"/>
      <c r="G222" s="30"/>
      <c r="H222" s="7"/>
      <c r="I222" s="8"/>
    </row>
    <row x14ac:dyDescent="0.25" r="223" customHeight="1" ht="14.25">
      <c r="A223" s="30"/>
      <c r="B223" s="30"/>
      <c r="C223" s="30"/>
      <c r="D223" s="7"/>
      <c r="E223" s="7"/>
      <c r="F223" s="7"/>
      <c r="G223" s="30"/>
      <c r="H223" s="7"/>
      <c r="I223" s="8"/>
    </row>
    <row x14ac:dyDescent="0.25" r="224" customHeight="1" ht="14.25">
      <c r="A224" s="30"/>
      <c r="B224" s="30"/>
      <c r="C224" s="30"/>
      <c r="D224" s="7"/>
      <c r="E224" s="7"/>
      <c r="F224" s="7"/>
      <c r="G224" s="30"/>
      <c r="H224" s="7"/>
      <c r="I224" s="8"/>
    </row>
    <row x14ac:dyDescent="0.25" r="225" customHeight="1" ht="14.25">
      <c r="A225" s="30"/>
      <c r="B225" s="30"/>
      <c r="C225" s="30"/>
      <c r="D225" s="7"/>
      <c r="E225" s="7"/>
      <c r="F225" s="7"/>
      <c r="G225" s="30"/>
      <c r="H225" s="7"/>
      <c r="I225" s="8"/>
    </row>
    <row x14ac:dyDescent="0.25" r="226" customHeight="1" ht="14.25">
      <c r="A226" s="30"/>
      <c r="B226" s="30"/>
      <c r="C226" s="30"/>
      <c r="D226" s="7"/>
      <c r="E226" s="7"/>
      <c r="F226" s="7"/>
      <c r="G226" s="30"/>
      <c r="H226" s="7"/>
      <c r="I226" s="8"/>
    </row>
    <row x14ac:dyDescent="0.25" r="227" customHeight="1" ht="14.25">
      <c r="A227" s="30"/>
      <c r="B227" s="30"/>
      <c r="C227" s="30"/>
      <c r="D227" s="7"/>
      <c r="E227" s="7"/>
      <c r="F227" s="7"/>
      <c r="G227" s="30"/>
      <c r="H227" s="7"/>
      <c r="I227" s="8"/>
    </row>
    <row x14ac:dyDescent="0.25" r="228" customHeight="1" ht="14.25">
      <c r="A228" s="30"/>
      <c r="B228" s="30"/>
      <c r="C228" s="30"/>
      <c r="D228" s="7"/>
      <c r="E228" s="7"/>
      <c r="F228" s="7"/>
      <c r="G228" s="30"/>
      <c r="H228" s="7"/>
      <c r="I228" s="8"/>
    </row>
    <row x14ac:dyDescent="0.25" r="229" customHeight="1" ht="14.25">
      <c r="A229" s="30"/>
      <c r="B229" s="30"/>
      <c r="C229" s="30"/>
      <c r="D229" s="7"/>
      <c r="E229" s="7"/>
      <c r="F229" s="7"/>
      <c r="G229" s="30"/>
      <c r="H229" s="7"/>
      <c r="I229" s="8"/>
    </row>
    <row x14ac:dyDescent="0.25" r="230" customHeight="1" ht="14.25">
      <c r="A230" s="30"/>
      <c r="B230" s="30"/>
      <c r="C230" s="30"/>
      <c r="D230" s="7"/>
      <c r="E230" s="7"/>
      <c r="F230" s="7"/>
      <c r="G230" s="30"/>
      <c r="H230" s="7"/>
      <c r="I230" s="8"/>
    </row>
    <row x14ac:dyDescent="0.25" r="231" customHeight="1" ht="14.25">
      <c r="A231" s="30"/>
      <c r="B231" s="30"/>
      <c r="C231" s="30"/>
      <c r="D231" s="7"/>
      <c r="E231" s="7"/>
      <c r="F231" s="7"/>
      <c r="G231" s="30"/>
      <c r="H231" s="7"/>
      <c r="I231" s="8"/>
    </row>
    <row x14ac:dyDescent="0.25" r="232" customHeight="1" ht="14.25">
      <c r="A232" s="30"/>
      <c r="B232" s="30"/>
      <c r="C232" s="30"/>
      <c r="D232" s="7"/>
      <c r="E232" s="7"/>
      <c r="F232" s="7"/>
      <c r="G232" s="30"/>
      <c r="H232" s="7"/>
      <c r="I232" s="8"/>
    </row>
    <row x14ac:dyDescent="0.25" r="233" customHeight="1" ht="14.25">
      <c r="A233" s="30"/>
      <c r="B233" s="30"/>
      <c r="C233" s="30"/>
      <c r="D233" s="7"/>
      <c r="E233" s="7"/>
      <c r="F233" s="7"/>
      <c r="G233" s="30"/>
      <c r="H233" s="7"/>
      <c r="I233" s="8"/>
    </row>
    <row x14ac:dyDescent="0.25" r="234" customHeight="1" ht="14.25">
      <c r="A234" s="30"/>
      <c r="B234" s="30"/>
      <c r="C234" s="30"/>
      <c r="D234" s="7"/>
      <c r="E234" s="7"/>
      <c r="F234" s="7"/>
      <c r="G234" s="30"/>
      <c r="H234" s="7"/>
      <c r="I234" s="8"/>
    </row>
    <row x14ac:dyDescent="0.25" r="235" customHeight="1" ht="14.25">
      <c r="A235" s="30"/>
      <c r="B235" s="30"/>
      <c r="C235" s="30"/>
      <c r="D235" s="7"/>
      <c r="E235" s="7"/>
      <c r="F235" s="7"/>
      <c r="G235" s="30"/>
      <c r="H235" s="7"/>
      <c r="I235" s="8"/>
    </row>
    <row x14ac:dyDescent="0.25" r="236" customHeight="1" ht="14.25">
      <c r="A236" s="30"/>
      <c r="B236" s="30"/>
      <c r="C236" s="30"/>
      <c r="D236" s="7"/>
      <c r="E236" s="7"/>
      <c r="F236" s="7"/>
      <c r="G236" s="30"/>
      <c r="H236" s="7"/>
      <c r="I236" s="8"/>
    </row>
    <row x14ac:dyDescent="0.25" r="237" customHeight="1" ht="14.25">
      <c r="A237" s="30"/>
      <c r="B237" s="30"/>
      <c r="C237" s="30"/>
      <c r="D237" s="7"/>
      <c r="E237" s="7"/>
      <c r="F237" s="7"/>
      <c r="G237" s="30"/>
      <c r="H237" s="7"/>
      <c r="I237" s="8"/>
    </row>
    <row x14ac:dyDescent="0.25" r="238" customHeight="1" ht="14.25">
      <c r="A238" s="30"/>
      <c r="B238" s="30"/>
      <c r="C238" s="30"/>
      <c r="D238" s="7"/>
      <c r="E238" s="7"/>
      <c r="F238" s="7"/>
      <c r="G238" s="30"/>
      <c r="H238" s="7"/>
      <c r="I238" s="8"/>
    </row>
    <row x14ac:dyDescent="0.25" r="239" customHeight="1" ht="14.25">
      <c r="A239" s="30"/>
      <c r="B239" s="30"/>
      <c r="C239" s="30"/>
      <c r="D239" s="7"/>
      <c r="E239" s="7"/>
      <c r="F239" s="7"/>
      <c r="G239" s="30"/>
      <c r="H239" s="7"/>
      <c r="I239" s="8"/>
    </row>
    <row x14ac:dyDescent="0.25" r="240" customHeight="1" ht="14.25">
      <c r="A240" s="30"/>
      <c r="B240" s="30"/>
      <c r="C240" s="30"/>
      <c r="D240" s="7"/>
      <c r="E240" s="7"/>
      <c r="F240" s="7"/>
      <c r="G240" s="30"/>
      <c r="H240" s="7"/>
      <c r="I240" s="8"/>
    </row>
    <row x14ac:dyDescent="0.25" r="241" customHeight="1" ht="14.25">
      <c r="A241" s="30"/>
      <c r="B241" s="30"/>
      <c r="C241" s="30"/>
      <c r="D241" s="7"/>
      <c r="E241" s="7"/>
      <c r="F241" s="7"/>
      <c r="G241" s="30"/>
      <c r="H241" s="7"/>
      <c r="I241" s="8"/>
    </row>
    <row x14ac:dyDescent="0.25" r="242" customHeight="1" ht="14.25">
      <c r="A242" s="30"/>
      <c r="B242" s="30"/>
      <c r="C242" s="30"/>
      <c r="D242" s="7"/>
      <c r="E242" s="7"/>
      <c r="F242" s="7"/>
      <c r="G242" s="30"/>
      <c r="H242" s="7"/>
      <c r="I242" s="8"/>
    </row>
    <row x14ac:dyDescent="0.25" r="243" customHeight="1" ht="14.25">
      <c r="A243" s="30"/>
      <c r="B243" s="30"/>
      <c r="C243" s="30"/>
      <c r="D243" s="7"/>
      <c r="E243" s="7"/>
      <c r="F243" s="7"/>
      <c r="G243" s="30"/>
      <c r="H243" s="7"/>
      <c r="I243" s="8"/>
    </row>
    <row x14ac:dyDescent="0.25" r="244" customHeight="1" ht="14.25">
      <c r="A244" s="30"/>
      <c r="B244" s="30"/>
      <c r="C244" s="30"/>
      <c r="D244" s="7"/>
      <c r="E244" s="7"/>
      <c r="F244" s="7"/>
      <c r="G244" s="30"/>
      <c r="H244" s="7"/>
      <c r="I244" s="8"/>
    </row>
    <row x14ac:dyDescent="0.25" r="245" customHeight="1" ht="14.25">
      <c r="A245" s="30"/>
      <c r="B245" s="30"/>
      <c r="C245" s="30"/>
      <c r="D245" s="7"/>
      <c r="E245" s="7"/>
      <c r="F245" s="7"/>
      <c r="G245" s="30"/>
      <c r="H245" s="7"/>
      <c r="I245" s="8"/>
    </row>
    <row x14ac:dyDescent="0.25" r="246" customHeight="1" ht="14.25">
      <c r="A246" s="30"/>
      <c r="B246" s="30"/>
      <c r="C246" s="30"/>
      <c r="D246" s="7"/>
      <c r="E246" s="7"/>
      <c r="F246" s="7"/>
      <c r="G246" s="30"/>
      <c r="H246" s="7"/>
      <c r="I246" s="8"/>
    </row>
    <row x14ac:dyDescent="0.25" r="247" customHeight="1" ht="14.25">
      <c r="A247" s="30"/>
      <c r="B247" s="30"/>
      <c r="C247" s="30"/>
      <c r="D247" s="7"/>
      <c r="E247" s="7"/>
      <c r="F247" s="7"/>
      <c r="G247" s="30"/>
      <c r="H247" s="7"/>
      <c r="I247" s="8"/>
    </row>
    <row x14ac:dyDescent="0.25" r="248" customHeight="1" ht="14.25">
      <c r="A248" s="30"/>
      <c r="B248" s="30"/>
      <c r="C248" s="30"/>
      <c r="D248" s="7"/>
      <c r="E248" s="7"/>
      <c r="F248" s="7"/>
      <c r="G248" s="30"/>
      <c r="H248" s="7"/>
      <c r="I248" s="8"/>
    </row>
    <row x14ac:dyDescent="0.25" r="249" customHeight="1" ht="14.25">
      <c r="A249" s="30"/>
      <c r="B249" s="30"/>
      <c r="C249" s="30"/>
      <c r="D249" s="7"/>
      <c r="E249" s="7"/>
      <c r="F249" s="7"/>
      <c r="G249" s="30"/>
      <c r="H249" s="7"/>
      <c r="I249" s="8"/>
    </row>
    <row x14ac:dyDescent="0.25" r="250" customHeight="1" ht="14.25">
      <c r="A250" s="30"/>
      <c r="B250" s="30"/>
      <c r="C250" s="30"/>
      <c r="D250" s="7"/>
      <c r="E250" s="7"/>
      <c r="F250" s="7"/>
      <c r="G250" s="30"/>
      <c r="H250" s="7"/>
      <c r="I250" s="8"/>
    </row>
    <row x14ac:dyDescent="0.25" r="251" customHeight="1" ht="14.25">
      <c r="A251" s="30"/>
      <c r="B251" s="30"/>
      <c r="C251" s="30"/>
      <c r="D251" s="7"/>
      <c r="E251" s="7"/>
      <c r="F251" s="7"/>
      <c r="G251" s="30"/>
      <c r="H251" s="7"/>
      <c r="I251" s="8"/>
    </row>
    <row x14ac:dyDescent="0.25" r="252" customHeight="1" ht="14.25">
      <c r="A252" s="30"/>
      <c r="B252" s="30"/>
      <c r="C252" s="30"/>
      <c r="D252" s="7"/>
      <c r="E252" s="7"/>
      <c r="F252" s="7"/>
      <c r="G252" s="30"/>
      <c r="H252" s="7"/>
      <c r="I252" s="8"/>
    </row>
    <row x14ac:dyDescent="0.25" r="253" customHeight="1" ht="14.25">
      <c r="A253" s="30"/>
      <c r="B253" s="30"/>
      <c r="C253" s="30"/>
      <c r="D253" s="7"/>
      <c r="E253" s="7"/>
      <c r="F253" s="7"/>
      <c r="G253" s="30"/>
      <c r="H253" s="7"/>
      <c r="I253" s="8"/>
    </row>
    <row x14ac:dyDescent="0.25" r="254" customHeight="1" ht="14.25">
      <c r="A254" s="30"/>
      <c r="B254" s="30"/>
      <c r="C254" s="30"/>
      <c r="D254" s="7"/>
      <c r="E254" s="7"/>
      <c r="F254" s="7"/>
      <c r="G254" s="30"/>
      <c r="H254" s="7"/>
      <c r="I254" s="8"/>
    </row>
    <row x14ac:dyDescent="0.25" r="255" customHeight="1" ht="14.25">
      <c r="A255" s="30"/>
      <c r="B255" s="30"/>
      <c r="C255" s="30"/>
      <c r="D255" s="7"/>
      <c r="E255" s="7"/>
      <c r="F255" s="7"/>
      <c r="G255" s="30"/>
      <c r="H255" s="7"/>
      <c r="I255" s="8"/>
    </row>
    <row x14ac:dyDescent="0.25" r="256" customHeight="1" ht="14.25">
      <c r="A256" s="30"/>
      <c r="B256" s="30"/>
      <c r="C256" s="30"/>
      <c r="D256" s="7"/>
      <c r="E256" s="7"/>
      <c r="F256" s="7"/>
      <c r="G256" s="30"/>
      <c r="H256" s="7"/>
      <c r="I256" s="8"/>
    </row>
    <row x14ac:dyDescent="0.25" r="257" customHeight="1" ht="14.25">
      <c r="A257" s="30"/>
      <c r="B257" s="30"/>
      <c r="C257" s="30"/>
      <c r="D257" s="7"/>
      <c r="E257" s="7"/>
      <c r="F257" s="7"/>
      <c r="G257" s="30"/>
      <c r="H257" s="7"/>
      <c r="I257" s="8"/>
    </row>
    <row x14ac:dyDescent="0.25" r="258" customHeight="1" ht="14.25">
      <c r="A258" s="30"/>
      <c r="B258" s="30"/>
      <c r="C258" s="30"/>
      <c r="D258" s="7"/>
      <c r="E258" s="7"/>
      <c r="F258" s="7"/>
      <c r="G258" s="30"/>
      <c r="H258" s="7"/>
      <c r="I258" s="8"/>
    </row>
    <row x14ac:dyDescent="0.25" r="259" customHeight="1" ht="14.25">
      <c r="A259" s="30"/>
      <c r="B259" s="30"/>
      <c r="C259" s="30"/>
      <c r="D259" s="7"/>
      <c r="E259" s="7"/>
      <c r="F259" s="7"/>
      <c r="G259" s="30"/>
      <c r="H259" s="7"/>
      <c r="I259" s="8"/>
    </row>
    <row x14ac:dyDescent="0.25" r="260" customHeight="1" ht="14.25">
      <c r="A260" s="30"/>
      <c r="B260" s="30"/>
      <c r="C260" s="30"/>
      <c r="D260" s="7"/>
      <c r="E260" s="7"/>
      <c r="F260" s="7"/>
      <c r="G260" s="30"/>
      <c r="H260" s="7"/>
      <c r="I260" s="8"/>
    </row>
    <row x14ac:dyDescent="0.25" r="261" customHeight="1" ht="14.25">
      <c r="A261" s="30"/>
      <c r="B261" s="30"/>
      <c r="C261" s="30"/>
      <c r="D261" s="7"/>
      <c r="E261" s="7"/>
      <c r="F261" s="7"/>
      <c r="G261" s="30"/>
      <c r="H261" s="7"/>
      <c r="I261" s="8"/>
    </row>
    <row x14ac:dyDescent="0.25" r="262" customHeight="1" ht="14.25">
      <c r="A262" s="30"/>
      <c r="B262" s="30"/>
      <c r="C262" s="30"/>
      <c r="D262" s="7"/>
      <c r="E262" s="7"/>
      <c r="F262" s="7"/>
      <c r="G262" s="30"/>
      <c r="H262" s="7"/>
      <c r="I262" s="8"/>
    </row>
    <row x14ac:dyDescent="0.25" r="263" customHeight="1" ht="14.25">
      <c r="A263" s="30"/>
      <c r="B263" s="30"/>
      <c r="C263" s="30"/>
      <c r="D263" s="7"/>
      <c r="E263" s="7"/>
      <c r="F263" s="7"/>
      <c r="G263" s="30"/>
      <c r="H263" s="7"/>
      <c r="I263" s="8"/>
    </row>
    <row x14ac:dyDescent="0.25" r="264" customHeight="1" ht="14.25">
      <c r="A264" s="30"/>
      <c r="B264" s="30"/>
      <c r="C264" s="30"/>
      <c r="D264" s="7"/>
      <c r="E264" s="7"/>
      <c r="F264" s="7"/>
      <c r="G264" s="30"/>
      <c r="H264" s="7"/>
      <c r="I264" s="8"/>
    </row>
    <row x14ac:dyDescent="0.25" r="265" customHeight="1" ht="14.25">
      <c r="A265" s="30"/>
      <c r="B265" s="30"/>
      <c r="C265" s="30"/>
      <c r="D265" s="7"/>
      <c r="E265" s="7"/>
      <c r="F265" s="7"/>
      <c r="G265" s="30"/>
      <c r="H265" s="7"/>
      <c r="I265" s="8"/>
    </row>
    <row x14ac:dyDescent="0.25" r="266" customHeight="1" ht="14.25">
      <c r="A266" s="30"/>
      <c r="B266" s="30"/>
      <c r="C266" s="30"/>
      <c r="D266" s="7"/>
      <c r="E266" s="7"/>
      <c r="F266" s="7"/>
      <c r="G266" s="30"/>
      <c r="H266" s="7"/>
      <c r="I266" s="8"/>
    </row>
    <row x14ac:dyDescent="0.25" r="267" customHeight="1" ht="14.25">
      <c r="A267" s="30"/>
      <c r="B267" s="30"/>
      <c r="C267" s="30"/>
      <c r="D267" s="7"/>
      <c r="E267" s="7"/>
      <c r="F267" s="7"/>
      <c r="G267" s="30"/>
      <c r="H267" s="7"/>
      <c r="I267" s="8"/>
    </row>
    <row x14ac:dyDescent="0.25" r="268" customHeight="1" ht="14.25">
      <c r="A268" s="30"/>
      <c r="B268" s="30"/>
      <c r="C268" s="30"/>
      <c r="D268" s="7"/>
      <c r="E268" s="7"/>
      <c r="F268" s="7"/>
      <c r="G268" s="30"/>
      <c r="H268" s="7"/>
      <c r="I268" s="8"/>
    </row>
    <row x14ac:dyDescent="0.25" r="269" customHeight="1" ht="14.25">
      <c r="A269" s="30"/>
      <c r="B269" s="30"/>
      <c r="C269" s="30"/>
      <c r="D269" s="7"/>
      <c r="E269" s="7"/>
      <c r="F269" s="7"/>
      <c r="G269" s="30"/>
      <c r="H269" s="7"/>
      <c r="I269" s="8"/>
    </row>
    <row x14ac:dyDescent="0.25" r="270" customHeight="1" ht="14.25">
      <c r="A270" s="30"/>
      <c r="B270" s="30"/>
      <c r="C270" s="30"/>
      <c r="D270" s="7"/>
      <c r="E270" s="7"/>
      <c r="F270" s="7"/>
      <c r="G270" s="30"/>
      <c r="H270" s="7"/>
      <c r="I270" s="8"/>
    </row>
    <row x14ac:dyDescent="0.25" r="271" customHeight="1" ht="14.25">
      <c r="A271" s="30"/>
      <c r="B271" s="30"/>
      <c r="C271" s="30"/>
      <c r="D271" s="7"/>
      <c r="E271" s="7"/>
      <c r="F271" s="7"/>
      <c r="G271" s="30"/>
      <c r="H271" s="7"/>
      <c r="I271" s="8"/>
    </row>
    <row x14ac:dyDescent="0.25" r="272" customHeight="1" ht="14.25">
      <c r="A272" s="30"/>
      <c r="B272" s="30"/>
      <c r="C272" s="30"/>
      <c r="D272" s="7"/>
      <c r="E272" s="7"/>
      <c r="F272" s="7"/>
      <c r="G272" s="30"/>
      <c r="H272" s="7"/>
      <c r="I272" s="8"/>
    </row>
    <row x14ac:dyDescent="0.25" r="273" customHeight="1" ht="14.25">
      <c r="A273" s="30"/>
      <c r="B273" s="30"/>
      <c r="C273" s="30"/>
      <c r="D273" s="7"/>
      <c r="E273" s="7"/>
      <c r="F273" s="7"/>
      <c r="G273" s="30"/>
      <c r="H273" s="7"/>
      <c r="I273" s="8"/>
    </row>
    <row x14ac:dyDescent="0.25" r="274" customHeight="1" ht="14.25">
      <c r="A274" s="30"/>
      <c r="B274" s="30"/>
      <c r="C274" s="30"/>
      <c r="D274" s="7"/>
      <c r="E274" s="7"/>
      <c r="F274" s="7"/>
      <c r="G274" s="30"/>
      <c r="H274" s="7"/>
      <c r="I274" s="8"/>
    </row>
    <row x14ac:dyDescent="0.25" r="275" customHeight="1" ht="14.25">
      <c r="A275" s="30"/>
      <c r="B275" s="30"/>
      <c r="C275" s="30"/>
      <c r="D275" s="7"/>
      <c r="E275" s="7"/>
      <c r="F275" s="7"/>
      <c r="G275" s="30"/>
      <c r="H275" s="7"/>
      <c r="I275" s="8"/>
    </row>
    <row x14ac:dyDescent="0.25" r="276" customHeight="1" ht="14.25">
      <c r="A276" s="30"/>
      <c r="B276" s="30"/>
      <c r="C276" s="30"/>
      <c r="D276" s="7"/>
      <c r="E276" s="7"/>
      <c r="F276" s="7"/>
      <c r="G276" s="30"/>
      <c r="H276" s="7"/>
      <c r="I276" s="8"/>
    </row>
    <row x14ac:dyDescent="0.25" r="277" customHeight="1" ht="14.25">
      <c r="A277" s="30"/>
      <c r="B277" s="30"/>
      <c r="C277" s="30"/>
      <c r="D277" s="7"/>
      <c r="E277" s="7"/>
      <c r="F277" s="7"/>
      <c r="G277" s="30"/>
      <c r="H277" s="7"/>
      <c r="I277" s="8"/>
    </row>
    <row x14ac:dyDescent="0.25" r="278" customHeight="1" ht="14.25">
      <c r="A278" s="30"/>
      <c r="B278" s="30"/>
      <c r="C278" s="30"/>
      <c r="D278" s="7"/>
      <c r="E278" s="7"/>
      <c r="F278" s="7"/>
      <c r="G278" s="30"/>
      <c r="H278" s="7"/>
      <c r="I278" s="8"/>
    </row>
    <row x14ac:dyDescent="0.25" r="279" customHeight="1" ht="14.25">
      <c r="A279" s="30"/>
      <c r="B279" s="30"/>
      <c r="C279" s="30"/>
      <c r="D279" s="7"/>
      <c r="E279" s="7"/>
      <c r="F279" s="7"/>
      <c r="G279" s="30"/>
      <c r="H279" s="7"/>
      <c r="I279" s="8"/>
    </row>
    <row x14ac:dyDescent="0.25" r="280" customHeight="1" ht="14.25">
      <c r="A280" s="30"/>
      <c r="B280" s="30"/>
      <c r="C280" s="30"/>
      <c r="D280" s="7"/>
      <c r="E280" s="7"/>
      <c r="F280" s="7"/>
      <c r="G280" s="30"/>
      <c r="H280" s="7"/>
      <c r="I280" s="8"/>
    </row>
    <row x14ac:dyDescent="0.25" r="281" customHeight="1" ht="14.25">
      <c r="A281" s="30"/>
      <c r="B281" s="30"/>
      <c r="C281" s="30"/>
      <c r="D281" s="7"/>
      <c r="E281" s="7"/>
      <c r="F281" s="7"/>
      <c r="G281" s="30"/>
      <c r="H281" s="7"/>
      <c r="I281" s="8"/>
    </row>
    <row x14ac:dyDescent="0.25" r="282" customHeight="1" ht="14.25">
      <c r="A282" s="30"/>
      <c r="B282" s="30"/>
      <c r="C282" s="30"/>
      <c r="D282" s="7"/>
      <c r="E282" s="7"/>
      <c r="F282" s="7"/>
      <c r="G282" s="30"/>
      <c r="H282" s="7"/>
      <c r="I282" s="8"/>
    </row>
    <row x14ac:dyDescent="0.25" r="283" customHeight="1" ht="14.25">
      <c r="A283" s="30"/>
      <c r="B283" s="30"/>
      <c r="C283" s="30"/>
      <c r="D283" s="7"/>
      <c r="E283" s="7"/>
      <c r="F283" s="7"/>
      <c r="G283" s="30"/>
      <c r="H283" s="7"/>
      <c r="I283" s="8"/>
    </row>
    <row x14ac:dyDescent="0.25" r="284" customHeight="1" ht="14.25">
      <c r="A284" s="30"/>
      <c r="B284" s="30"/>
      <c r="C284" s="30"/>
      <c r="D284" s="7"/>
      <c r="E284" s="7"/>
      <c r="F284" s="7"/>
      <c r="G284" s="30"/>
      <c r="H284" s="7"/>
      <c r="I284" s="8"/>
    </row>
    <row x14ac:dyDescent="0.25" r="285" customHeight="1" ht="14.25">
      <c r="A285" s="30"/>
      <c r="B285" s="30"/>
      <c r="C285" s="30"/>
      <c r="D285" s="7"/>
      <c r="E285" s="7"/>
      <c r="F285" s="7"/>
      <c r="G285" s="30"/>
      <c r="H285" s="7"/>
      <c r="I285" s="8"/>
    </row>
    <row x14ac:dyDescent="0.25" r="286" customHeight="1" ht="14.25">
      <c r="A286" s="30"/>
      <c r="B286" s="30"/>
      <c r="C286" s="30"/>
      <c r="D286" s="7"/>
      <c r="E286" s="7"/>
      <c r="F286" s="7"/>
      <c r="G286" s="30"/>
      <c r="H286" s="7"/>
      <c r="I286" s="8"/>
    </row>
    <row x14ac:dyDescent="0.25" r="287" customHeight="1" ht="14.25">
      <c r="A287" s="30"/>
      <c r="B287" s="30"/>
      <c r="C287" s="30"/>
      <c r="D287" s="7"/>
      <c r="E287" s="7"/>
      <c r="F287" s="7"/>
      <c r="G287" s="30"/>
      <c r="H287" s="7"/>
      <c r="I287" s="8"/>
    </row>
    <row x14ac:dyDescent="0.25" r="288" customHeight="1" ht="14.25">
      <c r="A288" s="30"/>
      <c r="B288" s="30"/>
      <c r="C288" s="30"/>
      <c r="D288" s="7"/>
      <c r="E288" s="7"/>
      <c r="F288" s="7"/>
      <c r="G288" s="30"/>
      <c r="H288" s="7"/>
      <c r="I288" s="8"/>
    </row>
    <row x14ac:dyDescent="0.25" r="289" customHeight="1" ht="14.25">
      <c r="A289" s="30"/>
      <c r="B289" s="30"/>
      <c r="C289" s="30"/>
      <c r="D289" s="7"/>
      <c r="E289" s="7"/>
      <c r="F289" s="7"/>
      <c r="G289" s="30"/>
      <c r="H289" s="7"/>
      <c r="I289" s="8"/>
    </row>
    <row x14ac:dyDescent="0.25" r="290" customHeight="1" ht="14.25">
      <c r="A290" s="30"/>
      <c r="B290" s="30"/>
      <c r="C290" s="30"/>
      <c r="D290" s="7"/>
      <c r="E290" s="7"/>
      <c r="F290" s="7"/>
      <c r="G290" s="30"/>
      <c r="H290" s="7"/>
      <c r="I290" s="8"/>
    </row>
    <row x14ac:dyDescent="0.25" r="291" customHeight="1" ht="14.25">
      <c r="A291" s="30"/>
      <c r="B291" s="30"/>
      <c r="C291" s="30"/>
      <c r="D291" s="7"/>
      <c r="E291" s="7"/>
      <c r="F291" s="7"/>
      <c r="G291" s="30"/>
      <c r="H291" s="7"/>
      <c r="I291" s="8"/>
    </row>
    <row x14ac:dyDescent="0.25" r="292" customHeight="1" ht="14.25">
      <c r="A292" s="30"/>
      <c r="B292" s="30"/>
      <c r="C292" s="30"/>
      <c r="D292" s="7"/>
      <c r="E292" s="7"/>
      <c r="F292" s="7"/>
      <c r="G292" s="30"/>
      <c r="H292" s="7"/>
      <c r="I292" s="8"/>
    </row>
    <row x14ac:dyDescent="0.25" r="293" customHeight="1" ht="14.25">
      <c r="A293" s="30"/>
      <c r="B293" s="30"/>
      <c r="C293" s="30"/>
      <c r="D293" s="7"/>
      <c r="E293" s="7"/>
      <c r="F293" s="7"/>
      <c r="G293" s="30"/>
      <c r="H293" s="7"/>
      <c r="I293" s="8"/>
    </row>
    <row x14ac:dyDescent="0.25" r="294" customHeight="1" ht="14.25">
      <c r="A294" s="30"/>
      <c r="B294" s="30"/>
      <c r="C294" s="30"/>
      <c r="D294" s="7"/>
      <c r="E294" s="7"/>
      <c r="F294" s="7"/>
      <c r="G294" s="30"/>
      <c r="H294" s="7"/>
      <c r="I294" s="8"/>
    </row>
    <row x14ac:dyDescent="0.25" r="295" customHeight="1" ht="14.25">
      <c r="A295" s="30"/>
      <c r="B295" s="30"/>
      <c r="C295" s="30"/>
      <c r="D295" s="7"/>
      <c r="E295" s="7"/>
      <c r="F295" s="7"/>
      <c r="G295" s="30"/>
      <c r="H295" s="7"/>
      <c r="I295" s="8"/>
    </row>
    <row x14ac:dyDescent="0.25" r="296" customHeight="1" ht="14.25">
      <c r="A296" s="30"/>
      <c r="B296" s="30"/>
      <c r="C296" s="30"/>
      <c r="D296" s="7"/>
      <c r="E296" s="7"/>
      <c r="F296" s="7"/>
      <c r="G296" s="30"/>
      <c r="H296" s="7"/>
      <c r="I296" s="8"/>
    </row>
    <row x14ac:dyDescent="0.25" r="297" customHeight="1" ht="14.25">
      <c r="A297" s="30"/>
      <c r="B297" s="30"/>
      <c r="C297" s="30"/>
      <c r="D297" s="7"/>
      <c r="E297" s="7"/>
      <c r="F297" s="7"/>
      <c r="G297" s="30"/>
      <c r="H297" s="7"/>
      <c r="I297" s="8"/>
    </row>
    <row x14ac:dyDescent="0.25" r="298" customHeight="1" ht="14.25">
      <c r="A298" s="30"/>
      <c r="B298" s="30"/>
      <c r="C298" s="30"/>
      <c r="D298" s="7"/>
      <c r="E298" s="7"/>
      <c r="F298" s="7"/>
      <c r="G298" s="30"/>
      <c r="H298" s="7"/>
      <c r="I298" s="8"/>
    </row>
    <row x14ac:dyDescent="0.25" r="299" customHeight="1" ht="14.25">
      <c r="A299" s="30"/>
      <c r="B299" s="30"/>
      <c r="C299" s="30"/>
      <c r="D299" s="7"/>
      <c r="E299" s="7"/>
      <c r="F299" s="7"/>
      <c r="G299" s="30"/>
      <c r="H299" s="7"/>
      <c r="I299" s="8"/>
    </row>
    <row x14ac:dyDescent="0.25" r="300" customHeight="1" ht="14.25">
      <c r="A300" s="30"/>
      <c r="B300" s="30"/>
      <c r="C300" s="30"/>
      <c r="D300" s="7"/>
      <c r="E300" s="7"/>
      <c r="F300" s="7"/>
      <c r="G300" s="30"/>
      <c r="H300" s="7"/>
      <c r="I300" s="8"/>
    </row>
    <row x14ac:dyDescent="0.25" r="301" customHeight="1" ht="14.25">
      <c r="A301" s="30"/>
      <c r="B301" s="30"/>
      <c r="C301" s="30"/>
      <c r="D301" s="7"/>
      <c r="E301" s="7"/>
      <c r="F301" s="7"/>
      <c r="G301" s="30"/>
      <c r="H301" s="7"/>
      <c r="I301" s="8"/>
    </row>
    <row x14ac:dyDescent="0.25" r="302" customHeight="1" ht="14.25">
      <c r="A302" s="30"/>
      <c r="B302" s="30"/>
      <c r="C302" s="30"/>
      <c r="D302" s="7"/>
      <c r="E302" s="7"/>
      <c r="F302" s="7"/>
      <c r="G302" s="30"/>
      <c r="H302" s="7"/>
      <c r="I302" s="8"/>
    </row>
    <row x14ac:dyDescent="0.25" r="303" customHeight="1" ht="14.25">
      <c r="A303" s="30"/>
      <c r="B303" s="30"/>
      <c r="C303" s="30"/>
      <c r="D303" s="7"/>
      <c r="E303" s="7"/>
      <c r="F303" s="7"/>
      <c r="G303" s="30"/>
      <c r="H303" s="7"/>
      <c r="I303" s="8"/>
    </row>
    <row x14ac:dyDescent="0.25" r="304" customHeight="1" ht="14.25">
      <c r="A304" s="30"/>
      <c r="B304" s="30"/>
      <c r="C304" s="30"/>
      <c r="D304" s="7"/>
      <c r="E304" s="7"/>
      <c r="F304" s="7"/>
      <c r="G304" s="30"/>
      <c r="H304" s="7"/>
      <c r="I304" s="8"/>
    </row>
    <row x14ac:dyDescent="0.25" r="305" customHeight="1" ht="14.25">
      <c r="A305" s="30"/>
      <c r="B305" s="30"/>
      <c r="C305" s="30"/>
      <c r="D305" s="7"/>
      <c r="E305" s="7"/>
      <c r="F305" s="7"/>
      <c r="G305" s="30"/>
      <c r="H305" s="7"/>
      <c r="I305" s="8"/>
    </row>
    <row x14ac:dyDescent="0.25" r="306" customHeight="1" ht="14.25">
      <c r="A306" s="30"/>
      <c r="B306" s="30"/>
      <c r="C306" s="30"/>
      <c r="D306" s="7"/>
      <c r="E306" s="7"/>
      <c r="F306" s="7"/>
      <c r="G306" s="30"/>
      <c r="H306" s="7"/>
      <c r="I306" s="8"/>
    </row>
    <row x14ac:dyDescent="0.25" r="307" customHeight="1" ht="14.25">
      <c r="A307" s="30"/>
      <c r="B307" s="30"/>
      <c r="C307" s="30"/>
      <c r="D307" s="7"/>
      <c r="E307" s="7"/>
      <c r="F307" s="7"/>
      <c r="G307" s="30"/>
      <c r="H307" s="7"/>
      <c r="I307" s="8"/>
    </row>
    <row x14ac:dyDescent="0.25" r="308" customHeight="1" ht="14.25">
      <c r="A308" s="30"/>
      <c r="B308" s="30"/>
      <c r="C308" s="30"/>
      <c r="D308" s="7"/>
      <c r="E308" s="7"/>
      <c r="F308" s="7"/>
      <c r="G308" s="30"/>
      <c r="H308" s="7"/>
      <c r="I308" s="8"/>
    </row>
    <row x14ac:dyDescent="0.25" r="309" customHeight="1" ht="14.25">
      <c r="A309" s="30"/>
      <c r="B309" s="30"/>
      <c r="C309" s="30"/>
      <c r="D309" s="7"/>
      <c r="E309" s="7"/>
      <c r="F309" s="7"/>
      <c r="G309" s="30"/>
      <c r="H309" s="7"/>
      <c r="I309" s="8"/>
    </row>
    <row x14ac:dyDescent="0.25" r="310" customHeight="1" ht="14.25">
      <c r="A310" s="30"/>
      <c r="B310" s="30"/>
      <c r="C310" s="30"/>
      <c r="D310" s="7"/>
      <c r="E310" s="7"/>
      <c r="F310" s="7"/>
      <c r="G310" s="30"/>
      <c r="H310" s="7"/>
      <c r="I310" s="8"/>
    </row>
    <row x14ac:dyDescent="0.25" r="311" customHeight="1" ht="14.25">
      <c r="A311" s="30"/>
      <c r="B311" s="30"/>
      <c r="C311" s="30"/>
      <c r="D311" s="7"/>
      <c r="E311" s="7"/>
      <c r="F311" s="7"/>
      <c r="G311" s="30"/>
      <c r="H311" s="7"/>
      <c r="I311" s="8"/>
    </row>
    <row x14ac:dyDescent="0.25" r="312" customHeight="1" ht="14.25">
      <c r="A312" s="30"/>
      <c r="B312" s="30"/>
      <c r="C312" s="30"/>
      <c r="D312" s="7"/>
      <c r="E312" s="7"/>
      <c r="F312" s="7"/>
      <c r="G312" s="30"/>
      <c r="H312" s="7"/>
      <c r="I312" s="8"/>
    </row>
    <row x14ac:dyDescent="0.25" r="313" customHeight="1" ht="14.25">
      <c r="A313" s="30"/>
      <c r="B313" s="30"/>
      <c r="C313" s="30"/>
      <c r="D313" s="7"/>
      <c r="E313" s="7"/>
      <c r="F313" s="7"/>
      <c r="G313" s="30"/>
      <c r="H313" s="7"/>
      <c r="I313" s="8"/>
    </row>
    <row x14ac:dyDescent="0.25" r="314" customHeight="1" ht="14.25">
      <c r="A314" s="30"/>
      <c r="B314" s="30"/>
      <c r="C314" s="30"/>
      <c r="D314" s="7"/>
      <c r="E314" s="7"/>
      <c r="F314" s="7"/>
      <c r="G314" s="30"/>
      <c r="H314" s="7"/>
      <c r="I314" s="8"/>
    </row>
    <row x14ac:dyDescent="0.25" r="315" customHeight="1" ht="14.25">
      <c r="A315" s="30"/>
      <c r="B315" s="30"/>
      <c r="C315" s="30"/>
      <c r="D315" s="7"/>
      <c r="E315" s="7"/>
      <c r="F315" s="7"/>
      <c r="G315" s="30"/>
      <c r="H315" s="7"/>
      <c r="I315" s="8"/>
    </row>
    <row x14ac:dyDescent="0.25" r="316" customHeight="1" ht="14.25">
      <c r="A316" s="30"/>
      <c r="B316" s="30"/>
      <c r="C316" s="30"/>
      <c r="D316" s="7"/>
      <c r="E316" s="7"/>
      <c r="F316" s="7"/>
      <c r="G316" s="30"/>
      <c r="H316" s="7"/>
      <c r="I316" s="8"/>
    </row>
    <row x14ac:dyDescent="0.25" r="317" customHeight="1" ht="14.25">
      <c r="A317" s="30"/>
      <c r="B317" s="30"/>
      <c r="C317" s="30"/>
      <c r="D317" s="7"/>
      <c r="E317" s="7"/>
      <c r="F317" s="7"/>
      <c r="G317" s="30"/>
      <c r="H317" s="7"/>
      <c r="I317" s="8"/>
    </row>
    <row x14ac:dyDescent="0.25" r="318" customHeight="1" ht="14.25">
      <c r="A318" s="30"/>
      <c r="B318" s="30"/>
      <c r="C318" s="30"/>
      <c r="D318" s="7"/>
      <c r="E318" s="7"/>
      <c r="F318" s="7"/>
      <c r="G318" s="30"/>
      <c r="H318" s="7"/>
      <c r="I318" s="8"/>
    </row>
    <row x14ac:dyDescent="0.25" r="319" customHeight="1" ht="14.25">
      <c r="A319" s="30"/>
      <c r="B319" s="30"/>
      <c r="C319" s="30"/>
      <c r="D319" s="7"/>
      <c r="E319" s="7"/>
      <c r="F319" s="7"/>
      <c r="G319" s="30"/>
      <c r="H319" s="7"/>
      <c r="I319" s="8"/>
    </row>
    <row x14ac:dyDescent="0.25" r="320" customHeight="1" ht="14.25">
      <c r="A320" s="30"/>
      <c r="B320" s="30"/>
      <c r="C320" s="30"/>
      <c r="D320" s="7"/>
      <c r="E320" s="7"/>
      <c r="F320" s="7"/>
      <c r="G320" s="30"/>
      <c r="H320" s="7"/>
      <c r="I320" s="8"/>
    </row>
    <row x14ac:dyDescent="0.25" r="321" customHeight="1" ht="14.25">
      <c r="A321" s="30"/>
      <c r="B321" s="30"/>
      <c r="C321" s="30"/>
      <c r="D321" s="7"/>
      <c r="E321" s="7"/>
      <c r="F321" s="7"/>
      <c r="G321" s="30"/>
      <c r="H321" s="7"/>
      <c r="I321" s="8"/>
    </row>
    <row x14ac:dyDescent="0.25" r="322" customHeight="1" ht="14.25">
      <c r="A322" s="30"/>
      <c r="B322" s="30"/>
      <c r="C322" s="30"/>
      <c r="D322" s="7"/>
      <c r="E322" s="7"/>
      <c r="F322" s="7"/>
      <c r="G322" s="30"/>
      <c r="H322" s="7"/>
      <c r="I322" s="8"/>
    </row>
    <row x14ac:dyDescent="0.25" r="323" customHeight="1" ht="14.25">
      <c r="A323" s="30"/>
      <c r="B323" s="30"/>
      <c r="C323" s="30"/>
      <c r="D323" s="7"/>
      <c r="E323" s="7"/>
      <c r="F323" s="7"/>
      <c r="G323" s="30"/>
      <c r="H323" s="7"/>
      <c r="I323" s="8"/>
    </row>
    <row x14ac:dyDescent="0.25" r="324" customHeight="1" ht="14.25">
      <c r="A324" s="30"/>
      <c r="B324" s="30"/>
      <c r="C324" s="30"/>
      <c r="D324" s="7"/>
      <c r="E324" s="7"/>
      <c r="F324" s="7"/>
      <c r="G324" s="30"/>
      <c r="H324" s="7"/>
      <c r="I324" s="8"/>
    </row>
    <row x14ac:dyDescent="0.25" r="325" customHeight="1" ht="14.25">
      <c r="A325" s="30"/>
      <c r="B325" s="30"/>
      <c r="C325" s="30"/>
      <c r="D325" s="7"/>
      <c r="E325" s="7"/>
      <c r="F325" s="7"/>
      <c r="G325" s="30"/>
      <c r="H325" s="7"/>
      <c r="I325" s="8"/>
    </row>
    <row x14ac:dyDescent="0.25" r="326" customHeight="1" ht="14.25">
      <c r="A326" s="30"/>
      <c r="B326" s="30"/>
      <c r="C326" s="30"/>
      <c r="D326" s="7"/>
      <c r="E326" s="7"/>
      <c r="F326" s="7"/>
      <c r="G326" s="30"/>
      <c r="H326" s="7"/>
      <c r="I326" s="8"/>
    </row>
    <row x14ac:dyDescent="0.25" r="327" customHeight="1" ht="14.25">
      <c r="A327" s="30"/>
      <c r="B327" s="30"/>
      <c r="C327" s="30"/>
      <c r="D327" s="7"/>
      <c r="E327" s="7"/>
      <c r="F327" s="7"/>
      <c r="G327" s="30"/>
      <c r="H327" s="7"/>
      <c r="I327" s="8"/>
    </row>
    <row x14ac:dyDescent="0.25" r="328" customHeight="1" ht="14.25">
      <c r="A328" s="30"/>
      <c r="B328" s="30"/>
      <c r="C328" s="30"/>
      <c r="D328" s="7"/>
      <c r="E328" s="7"/>
      <c r="F328" s="7"/>
      <c r="G328" s="30"/>
      <c r="H328" s="7"/>
      <c r="I328" s="8"/>
    </row>
    <row x14ac:dyDescent="0.25" r="329" customHeight="1" ht="14.25">
      <c r="A329" s="30"/>
      <c r="B329" s="30"/>
      <c r="C329" s="30"/>
      <c r="D329" s="7"/>
      <c r="E329" s="7"/>
      <c r="F329" s="7"/>
      <c r="G329" s="30"/>
      <c r="H329" s="7"/>
      <c r="I329" s="8"/>
    </row>
    <row x14ac:dyDescent="0.25" r="330" customHeight="1" ht="14.25">
      <c r="A330" s="30"/>
      <c r="B330" s="30"/>
      <c r="C330" s="30"/>
      <c r="D330" s="7"/>
      <c r="E330" s="7"/>
      <c r="F330" s="7"/>
      <c r="G330" s="30"/>
      <c r="H330" s="7"/>
      <c r="I330" s="8"/>
    </row>
    <row x14ac:dyDescent="0.25" r="331" customHeight="1" ht="14.25">
      <c r="A331" s="30"/>
      <c r="B331" s="30"/>
      <c r="C331" s="30"/>
      <c r="D331" s="7"/>
      <c r="E331" s="7"/>
      <c r="F331" s="7"/>
      <c r="G331" s="30"/>
      <c r="H331" s="7"/>
      <c r="I331" s="8"/>
    </row>
    <row x14ac:dyDescent="0.25" r="332" customHeight="1" ht="14.25">
      <c r="A332" s="30"/>
      <c r="B332" s="30"/>
      <c r="C332" s="30"/>
      <c r="D332" s="7"/>
      <c r="E332" s="7"/>
      <c r="F332" s="7"/>
      <c r="G332" s="30"/>
      <c r="H332" s="7"/>
      <c r="I332" s="8"/>
    </row>
    <row x14ac:dyDescent="0.25" r="333" customHeight="1" ht="14.25">
      <c r="A333" s="30"/>
      <c r="B333" s="30"/>
      <c r="C333" s="30"/>
      <c r="D333" s="7"/>
      <c r="E333" s="7"/>
      <c r="F333" s="7"/>
      <c r="G333" s="30"/>
      <c r="H333" s="7"/>
      <c r="I333" s="8"/>
    </row>
    <row x14ac:dyDescent="0.25" r="334" customHeight="1" ht="14.25">
      <c r="A334" s="30"/>
      <c r="B334" s="30"/>
      <c r="C334" s="30"/>
      <c r="D334" s="7"/>
      <c r="E334" s="7"/>
      <c r="F334" s="7"/>
      <c r="G334" s="30"/>
      <c r="H334" s="7"/>
      <c r="I334" s="8"/>
    </row>
    <row x14ac:dyDescent="0.25" r="335" customHeight="1" ht="14.25">
      <c r="A335" s="30"/>
      <c r="B335" s="30"/>
      <c r="C335" s="30"/>
      <c r="D335" s="7"/>
      <c r="E335" s="7"/>
      <c r="F335" s="7"/>
      <c r="G335" s="30"/>
      <c r="H335" s="7"/>
      <c r="I335" s="8"/>
    </row>
    <row x14ac:dyDescent="0.25" r="336" customHeight="1" ht="14.25">
      <c r="A336" s="30"/>
      <c r="B336" s="30"/>
      <c r="C336" s="30"/>
      <c r="D336" s="7"/>
      <c r="E336" s="7"/>
      <c r="F336" s="7"/>
      <c r="G336" s="30"/>
      <c r="H336" s="7"/>
      <c r="I336" s="8"/>
    </row>
    <row x14ac:dyDescent="0.25" r="337" customHeight="1" ht="14.25">
      <c r="A337" s="30"/>
      <c r="B337" s="30"/>
      <c r="C337" s="30"/>
      <c r="D337" s="7"/>
      <c r="E337" s="7"/>
      <c r="F337" s="7"/>
      <c r="G337" s="30"/>
      <c r="H337" s="7"/>
      <c r="I337" s="8"/>
    </row>
    <row x14ac:dyDescent="0.25" r="338" customHeight="1" ht="14.25">
      <c r="A338" s="30"/>
      <c r="B338" s="30"/>
      <c r="C338" s="30"/>
      <c r="D338" s="7"/>
      <c r="E338" s="7"/>
      <c r="F338" s="7"/>
      <c r="G338" s="30"/>
      <c r="H338" s="7"/>
      <c r="I338" s="8"/>
    </row>
    <row x14ac:dyDescent="0.25" r="339" customHeight="1" ht="14.25">
      <c r="A339" s="30"/>
      <c r="B339" s="30"/>
      <c r="C339" s="30"/>
      <c r="D339" s="7"/>
      <c r="E339" s="7"/>
      <c r="F339" s="7"/>
      <c r="G339" s="30"/>
      <c r="H339" s="7"/>
      <c r="I339" s="8"/>
    </row>
    <row x14ac:dyDescent="0.25" r="340" customHeight="1" ht="14.25">
      <c r="A340" s="30"/>
      <c r="B340" s="30"/>
      <c r="C340" s="30"/>
      <c r="D340" s="7"/>
      <c r="E340" s="7"/>
      <c r="F340" s="7"/>
      <c r="G340" s="30"/>
      <c r="H340" s="7"/>
      <c r="I340" s="8"/>
    </row>
    <row x14ac:dyDescent="0.25" r="341" customHeight="1" ht="14.25">
      <c r="A341" s="30"/>
      <c r="B341" s="30"/>
      <c r="C341" s="30"/>
      <c r="D341" s="7"/>
      <c r="E341" s="7"/>
      <c r="F341" s="7"/>
      <c r="G341" s="30"/>
      <c r="H341" s="7"/>
      <c r="I341" s="8"/>
    </row>
    <row x14ac:dyDescent="0.25" r="342" customHeight="1" ht="14.25">
      <c r="A342" s="30"/>
      <c r="B342" s="30"/>
      <c r="C342" s="30"/>
      <c r="D342" s="7"/>
      <c r="E342" s="7"/>
      <c r="F342" s="7"/>
      <c r="G342" s="30"/>
      <c r="H342" s="7"/>
      <c r="I342" s="8"/>
    </row>
    <row x14ac:dyDescent="0.25" r="343" customHeight="1" ht="14.25">
      <c r="A343" s="30"/>
      <c r="B343" s="30"/>
      <c r="C343" s="30"/>
      <c r="D343" s="7"/>
      <c r="E343" s="7"/>
      <c r="F343" s="7"/>
      <c r="G343" s="30"/>
      <c r="H343" s="7"/>
      <c r="I343" s="8"/>
    </row>
    <row x14ac:dyDescent="0.25" r="344" customHeight="1" ht="14.25">
      <c r="A344" s="30"/>
      <c r="B344" s="30"/>
      <c r="C344" s="30"/>
      <c r="D344" s="7"/>
      <c r="E344" s="7"/>
      <c r="F344" s="7"/>
      <c r="G344" s="30"/>
      <c r="H344" s="7"/>
      <c r="I344" s="8"/>
    </row>
    <row x14ac:dyDescent="0.25" r="345" customHeight="1" ht="14.25">
      <c r="A345" s="30"/>
      <c r="B345" s="30"/>
      <c r="C345" s="30"/>
      <c r="D345" s="7"/>
      <c r="E345" s="7"/>
      <c r="F345" s="7"/>
      <c r="G345" s="30"/>
      <c r="H345" s="7"/>
      <c r="I345" s="8"/>
    </row>
    <row x14ac:dyDescent="0.25" r="346" customHeight="1" ht="14.25">
      <c r="A346" s="30"/>
      <c r="B346" s="30"/>
      <c r="C346" s="30"/>
      <c r="D346" s="7"/>
      <c r="E346" s="7"/>
      <c r="F346" s="7"/>
      <c r="G346" s="30"/>
      <c r="H346" s="7"/>
      <c r="I346" s="8"/>
    </row>
    <row x14ac:dyDescent="0.25" r="347" customHeight="1" ht="14.25">
      <c r="A347" s="30"/>
      <c r="B347" s="30"/>
      <c r="C347" s="30"/>
      <c r="D347" s="7"/>
      <c r="E347" s="7"/>
      <c r="F347" s="7"/>
      <c r="G347" s="30"/>
      <c r="H347" s="7"/>
      <c r="I347" s="8"/>
    </row>
    <row x14ac:dyDescent="0.25" r="348" customHeight="1" ht="14.25">
      <c r="A348" s="30"/>
      <c r="B348" s="30"/>
      <c r="C348" s="30"/>
      <c r="D348" s="7"/>
      <c r="E348" s="7"/>
      <c r="F348" s="7"/>
      <c r="G348" s="30"/>
      <c r="H348" s="7"/>
      <c r="I348" s="8"/>
    </row>
    <row x14ac:dyDescent="0.25" r="349" customHeight="1" ht="14.25">
      <c r="A349" s="30"/>
      <c r="B349" s="30"/>
      <c r="C349" s="30"/>
      <c r="D349" s="7"/>
      <c r="E349" s="7"/>
      <c r="F349" s="7"/>
      <c r="G349" s="30"/>
      <c r="H349" s="7"/>
      <c r="I349" s="8"/>
    </row>
    <row x14ac:dyDescent="0.25" r="350" customHeight="1" ht="14.25">
      <c r="A350" s="30"/>
      <c r="B350" s="30"/>
      <c r="C350" s="30"/>
      <c r="D350" s="7"/>
      <c r="E350" s="7"/>
      <c r="F350" s="7"/>
      <c r="G350" s="30"/>
      <c r="H350" s="7"/>
      <c r="I350" s="8"/>
    </row>
    <row x14ac:dyDescent="0.25" r="351" customHeight="1" ht="14.25">
      <c r="A351" s="30"/>
      <c r="B351" s="30"/>
      <c r="C351" s="30"/>
      <c r="D351" s="7"/>
      <c r="E351" s="7"/>
      <c r="F351" s="7"/>
      <c r="G351" s="30"/>
      <c r="H351" s="7"/>
      <c r="I351" s="8"/>
    </row>
    <row x14ac:dyDescent="0.25" r="352" customHeight="1" ht="14.25">
      <c r="A352" s="30"/>
      <c r="B352" s="30"/>
      <c r="C352" s="30"/>
      <c r="D352" s="7"/>
      <c r="E352" s="7"/>
      <c r="F352" s="7"/>
      <c r="G352" s="30"/>
      <c r="H352" s="7"/>
      <c r="I352" s="8"/>
    </row>
    <row x14ac:dyDescent="0.25" r="353" customHeight="1" ht="14.25">
      <c r="A353" s="30"/>
      <c r="B353" s="30"/>
      <c r="C353" s="30"/>
      <c r="D353" s="7"/>
      <c r="E353" s="7"/>
      <c r="F353" s="7"/>
      <c r="G353" s="30"/>
      <c r="H353" s="7"/>
      <c r="I353" s="8"/>
    </row>
    <row x14ac:dyDescent="0.25" r="354" customHeight="1" ht="14.25">
      <c r="A354" s="30"/>
      <c r="B354" s="30"/>
      <c r="C354" s="30"/>
      <c r="D354" s="7"/>
      <c r="E354" s="7"/>
      <c r="F354" s="7"/>
      <c r="G354" s="30"/>
      <c r="H354" s="7"/>
      <c r="I354" s="8"/>
    </row>
    <row x14ac:dyDescent="0.25" r="355" customHeight="1" ht="14.25">
      <c r="A355" s="30"/>
      <c r="B355" s="30"/>
      <c r="C355" s="30"/>
      <c r="D355" s="7"/>
      <c r="E355" s="7"/>
      <c r="F355" s="7"/>
      <c r="G355" s="30"/>
      <c r="H355" s="7"/>
      <c r="I355" s="8"/>
    </row>
    <row x14ac:dyDescent="0.25" r="356" customHeight="1" ht="14.25">
      <c r="A356" s="30"/>
      <c r="B356" s="30"/>
      <c r="C356" s="30"/>
      <c r="D356" s="7"/>
      <c r="E356" s="7"/>
      <c r="F356" s="7"/>
      <c r="G356" s="30"/>
      <c r="H356" s="7"/>
      <c r="I356" s="8"/>
    </row>
    <row x14ac:dyDescent="0.25" r="357" customHeight="1" ht="14.25">
      <c r="A357" s="30"/>
      <c r="B357" s="30"/>
      <c r="C357" s="30"/>
      <c r="D357" s="7"/>
      <c r="E357" s="7"/>
      <c r="F357" s="7"/>
      <c r="G357" s="30"/>
      <c r="H357" s="7"/>
      <c r="I357" s="8"/>
    </row>
    <row x14ac:dyDescent="0.25" r="358" customHeight="1" ht="14.25">
      <c r="A358" s="30"/>
      <c r="B358" s="30"/>
      <c r="C358" s="30"/>
      <c r="D358" s="7"/>
      <c r="E358" s="7"/>
      <c r="F358" s="7"/>
      <c r="G358" s="30"/>
      <c r="H358" s="7"/>
      <c r="I358" s="8"/>
    </row>
    <row x14ac:dyDescent="0.25" r="359" customHeight="1" ht="14.25">
      <c r="A359" s="30"/>
      <c r="B359" s="30"/>
      <c r="C359" s="30"/>
      <c r="D359" s="7"/>
      <c r="E359" s="7"/>
      <c r="F359" s="7"/>
      <c r="G359" s="30"/>
      <c r="H359" s="7"/>
      <c r="I359" s="8"/>
    </row>
    <row x14ac:dyDescent="0.25" r="360" customHeight="1" ht="14.25">
      <c r="A360" s="30"/>
      <c r="B360" s="30"/>
      <c r="C360" s="30"/>
      <c r="D360" s="7"/>
      <c r="E360" s="7"/>
      <c r="F360" s="7"/>
      <c r="G360" s="30"/>
      <c r="H360" s="7"/>
      <c r="I360" s="8"/>
    </row>
    <row x14ac:dyDescent="0.25" r="361" customHeight="1" ht="14.25">
      <c r="A361" s="30"/>
      <c r="B361" s="30"/>
      <c r="C361" s="30"/>
      <c r="D361" s="7"/>
      <c r="E361" s="7"/>
      <c r="F361" s="7"/>
      <c r="G361" s="30"/>
      <c r="H361" s="7"/>
      <c r="I361" s="8"/>
    </row>
    <row x14ac:dyDescent="0.25" r="362" customHeight="1" ht="14.25">
      <c r="A362" s="30"/>
      <c r="B362" s="30"/>
      <c r="C362" s="30"/>
      <c r="D362" s="7"/>
      <c r="E362" s="7"/>
      <c r="F362" s="7"/>
      <c r="G362" s="30"/>
      <c r="H362" s="7"/>
      <c r="I362" s="8"/>
    </row>
    <row x14ac:dyDescent="0.25" r="363" customHeight="1" ht="14.25">
      <c r="A363" s="30"/>
      <c r="B363" s="30"/>
      <c r="C363" s="30"/>
      <c r="D363" s="7"/>
      <c r="E363" s="7"/>
      <c r="F363" s="7"/>
      <c r="G363" s="30"/>
      <c r="H363" s="7"/>
      <c r="I363" s="8"/>
    </row>
    <row x14ac:dyDescent="0.25" r="364" customHeight="1" ht="14.25">
      <c r="A364" s="30"/>
      <c r="B364" s="30"/>
      <c r="C364" s="30"/>
      <c r="D364" s="7"/>
      <c r="E364" s="7"/>
      <c r="F364" s="7"/>
      <c r="G364" s="30"/>
      <c r="H364" s="7"/>
      <c r="I364" s="8"/>
    </row>
    <row x14ac:dyDescent="0.25" r="365" customHeight="1" ht="14.25">
      <c r="A365" s="30"/>
      <c r="B365" s="30"/>
      <c r="C365" s="30"/>
      <c r="D365" s="7"/>
      <c r="E365" s="7"/>
      <c r="F365" s="7"/>
      <c r="G365" s="30"/>
      <c r="H365" s="7"/>
      <c r="I365" s="8"/>
    </row>
    <row x14ac:dyDescent="0.25" r="366" customHeight="1" ht="14.25">
      <c r="A366" s="30"/>
      <c r="B366" s="30"/>
      <c r="C366" s="30"/>
      <c r="D366" s="7"/>
      <c r="E366" s="7"/>
      <c r="F366" s="7"/>
      <c r="G366" s="30"/>
      <c r="H366" s="7"/>
      <c r="I366" s="8"/>
    </row>
    <row x14ac:dyDescent="0.25" r="367" customHeight="1" ht="14.25">
      <c r="A367" s="30"/>
      <c r="B367" s="30"/>
      <c r="C367" s="30"/>
      <c r="D367" s="7"/>
      <c r="E367" s="7"/>
      <c r="F367" s="7"/>
      <c r="G367" s="30"/>
      <c r="H367" s="7"/>
      <c r="I367" s="8"/>
    </row>
    <row x14ac:dyDescent="0.25" r="368" customHeight="1" ht="14.25">
      <c r="A368" s="30"/>
      <c r="B368" s="30"/>
      <c r="C368" s="30"/>
      <c r="D368" s="7"/>
      <c r="E368" s="7"/>
      <c r="F368" s="7"/>
      <c r="G368" s="30"/>
      <c r="H368" s="7"/>
      <c r="I368" s="8"/>
    </row>
    <row x14ac:dyDescent="0.25" r="369" customHeight="1" ht="14.25">
      <c r="A369" s="30"/>
      <c r="B369" s="30"/>
      <c r="C369" s="30"/>
      <c r="D369" s="7"/>
      <c r="E369" s="7"/>
      <c r="F369" s="7"/>
      <c r="G369" s="30"/>
      <c r="H369" s="7"/>
      <c r="I369" s="8"/>
    </row>
    <row x14ac:dyDescent="0.25" r="370" customHeight="1" ht="14.25">
      <c r="A370" s="30"/>
      <c r="B370" s="30"/>
      <c r="C370" s="30"/>
      <c r="D370" s="7"/>
      <c r="E370" s="7"/>
      <c r="F370" s="7"/>
      <c r="G370" s="30"/>
      <c r="H370" s="7"/>
      <c r="I370" s="8"/>
    </row>
    <row x14ac:dyDescent="0.25" r="371" customHeight="1" ht="14.25">
      <c r="A371" s="30"/>
      <c r="B371" s="30"/>
      <c r="C371" s="30"/>
      <c r="D371" s="7"/>
      <c r="E371" s="7"/>
      <c r="F371" s="7"/>
      <c r="G371" s="30"/>
      <c r="H371" s="7"/>
      <c r="I371" s="8"/>
    </row>
    <row x14ac:dyDescent="0.25" r="372" customHeight="1" ht="14.25">
      <c r="A372" s="30"/>
      <c r="B372" s="30"/>
      <c r="C372" s="30"/>
      <c r="D372" s="7"/>
      <c r="E372" s="7"/>
      <c r="F372" s="7"/>
      <c r="G372" s="30"/>
      <c r="H372" s="7"/>
      <c r="I372" s="8"/>
    </row>
    <row x14ac:dyDescent="0.25" r="373" customHeight="1" ht="14.25">
      <c r="A373" s="30"/>
      <c r="B373" s="30"/>
      <c r="C373" s="30"/>
      <c r="D373" s="7"/>
      <c r="E373" s="7"/>
      <c r="F373" s="7"/>
      <c r="G373" s="30"/>
      <c r="H373" s="7"/>
      <c r="I373" s="8"/>
    </row>
    <row x14ac:dyDescent="0.25" r="374" customHeight="1" ht="14.25">
      <c r="A374" s="30"/>
      <c r="B374" s="30"/>
      <c r="C374" s="30"/>
      <c r="D374" s="7"/>
      <c r="E374" s="7"/>
      <c r="F374" s="7"/>
      <c r="G374" s="30"/>
      <c r="H374" s="7"/>
      <c r="I374" s="8"/>
    </row>
    <row x14ac:dyDescent="0.25" r="375" customHeight="1" ht="14.25">
      <c r="A375" s="30"/>
      <c r="B375" s="30"/>
      <c r="C375" s="30"/>
      <c r="D375" s="7"/>
      <c r="E375" s="7"/>
      <c r="F375" s="7"/>
      <c r="G375" s="30"/>
      <c r="H375" s="7"/>
      <c r="I375" s="8"/>
    </row>
    <row x14ac:dyDescent="0.25" r="376" customHeight="1" ht="14.25">
      <c r="A376" s="30"/>
      <c r="B376" s="30"/>
      <c r="C376" s="30"/>
      <c r="D376" s="7"/>
      <c r="E376" s="7"/>
      <c r="F376" s="7"/>
      <c r="G376" s="30"/>
      <c r="H376" s="7"/>
      <c r="I376" s="8"/>
    </row>
    <row x14ac:dyDescent="0.25" r="377" customHeight="1" ht="14.25">
      <c r="A377" s="30"/>
      <c r="B377" s="30"/>
      <c r="C377" s="30"/>
      <c r="D377" s="7"/>
      <c r="E377" s="7"/>
      <c r="F377" s="7"/>
      <c r="G377" s="30"/>
      <c r="H377" s="7"/>
      <c r="I377" s="8"/>
    </row>
    <row x14ac:dyDescent="0.25" r="378" customHeight="1" ht="14.25">
      <c r="A378" s="30"/>
      <c r="B378" s="30"/>
      <c r="C378" s="30"/>
      <c r="D378" s="7"/>
      <c r="E378" s="7"/>
      <c r="F378" s="7"/>
      <c r="G378" s="30"/>
      <c r="H378" s="7"/>
      <c r="I378" s="8"/>
    </row>
    <row x14ac:dyDescent="0.25" r="379" customHeight="1" ht="14.25">
      <c r="A379" s="30"/>
      <c r="B379" s="30"/>
      <c r="C379" s="30"/>
      <c r="D379" s="7"/>
      <c r="E379" s="7"/>
      <c r="F379" s="7"/>
      <c r="G379" s="30"/>
      <c r="H379" s="7"/>
      <c r="I379" s="8"/>
    </row>
    <row x14ac:dyDescent="0.25" r="380" customHeight="1" ht="14.25">
      <c r="A380" s="30"/>
      <c r="B380" s="30"/>
      <c r="C380" s="30"/>
      <c r="D380" s="7"/>
      <c r="E380" s="7"/>
      <c r="F380" s="7"/>
      <c r="G380" s="30"/>
      <c r="H380" s="7"/>
      <c r="I380" s="8"/>
    </row>
    <row x14ac:dyDescent="0.25" r="381" customHeight="1" ht="14.25">
      <c r="A381" s="30"/>
      <c r="B381" s="30"/>
      <c r="C381" s="30"/>
      <c r="D381" s="7"/>
      <c r="E381" s="7"/>
      <c r="F381" s="7"/>
      <c r="G381" s="30"/>
      <c r="H381" s="7"/>
      <c r="I381" s="8"/>
    </row>
    <row x14ac:dyDescent="0.25" r="382" customHeight="1" ht="14.25">
      <c r="A382" s="30"/>
      <c r="B382" s="30"/>
      <c r="C382" s="30"/>
      <c r="D382" s="7"/>
      <c r="E382" s="7"/>
      <c r="F382" s="7"/>
      <c r="G382" s="30"/>
      <c r="H382" s="7"/>
      <c r="I382" s="8"/>
    </row>
    <row x14ac:dyDescent="0.25" r="383" customHeight="1" ht="14.25">
      <c r="A383" s="30"/>
      <c r="B383" s="30"/>
      <c r="C383" s="30"/>
      <c r="D383" s="7"/>
      <c r="E383" s="7"/>
      <c r="F383" s="7"/>
      <c r="G383" s="30"/>
      <c r="H383" s="7"/>
      <c r="I383" s="8"/>
    </row>
    <row x14ac:dyDescent="0.25" r="384" customHeight="1" ht="14.25">
      <c r="A384" s="30"/>
      <c r="B384" s="30"/>
      <c r="C384" s="30"/>
      <c r="D384" s="7"/>
      <c r="E384" s="7"/>
      <c r="F384" s="7"/>
      <c r="G384" s="30"/>
      <c r="H384" s="7"/>
      <c r="I384" s="8"/>
    </row>
    <row x14ac:dyDescent="0.25" r="385" customHeight="1" ht="14.25">
      <c r="A385" s="30"/>
      <c r="B385" s="30"/>
      <c r="C385" s="30"/>
      <c r="D385" s="7"/>
      <c r="E385" s="7"/>
      <c r="F385" s="7"/>
      <c r="G385" s="30"/>
      <c r="H385" s="7"/>
      <c r="I385" s="8"/>
    </row>
    <row x14ac:dyDescent="0.25" r="386" customHeight="1" ht="14.25">
      <c r="A386" s="30"/>
      <c r="B386" s="30"/>
      <c r="C386" s="30"/>
      <c r="D386" s="7"/>
      <c r="E386" s="7"/>
      <c r="F386" s="7"/>
      <c r="G386" s="30"/>
      <c r="H386" s="7"/>
      <c r="I386" s="8"/>
    </row>
    <row x14ac:dyDescent="0.25" r="387" customHeight="1" ht="14.25">
      <c r="A387" s="30"/>
      <c r="B387" s="30"/>
      <c r="C387" s="30"/>
      <c r="D387" s="7"/>
      <c r="E387" s="7"/>
      <c r="F387" s="7"/>
      <c r="G387" s="30"/>
      <c r="H387" s="7"/>
      <c r="I387" s="8"/>
    </row>
    <row x14ac:dyDescent="0.25" r="388" customHeight="1" ht="14.25">
      <c r="A388" s="30"/>
      <c r="B388" s="30"/>
      <c r="C388" s="30"/>
      <c r="D388" s="7"/>
      <c r="E388" s="7"/>
      <c r="F388" s="7"/>
      <c r="G388" s="30"/>
      <c r="H388" s="7"/>
      <c r="I388" s="8"/>
    </row>
    <row x14ac:dyDescent="0.25" r="389" customHeight="1" ht="14.25">
      <c r="A389" s="30"/>
      <c r="B389" s="30"/>
      <c r="C389" s="30"/>
      <c r="D389" s="7"/>
      <c r="E389" s="7"/>
      <c r="F389" s="7"/>
      <c r="G389" s="30"/>
      <c r="H389" s="7"/>
      <c r="I389" s="8"/>
    </row>
    <row x14ac:dyDescent="0.25" r="390" customHeight="1" ht="14.25">
      <c r="A390" s="30"/>
      <c r="B390" s="30"/>
      <c r="C390" s="30"/>
      <c r="D390" s="7"/>
      <c r="E390" s="7"/>
      <c r="F390" s="7"/>
      <c r="G390" s="30"/>
      <c r="H390" s="7"/>
      <c r="I390" s="8"/>
    </row>
    <row x14ac:dyDescent="0.25" r="391" customHeight="1" ht="14.25">
      <c r="A391" s="30"/>
      <c r="B391" s="30"/>
      <c r="C391" s="30"/>
      <c r="D391" s="7"/>
      <c r="E391" s="7"/>
      <c r="F391" s="7"/>
      <c r="G391" s="30"/>
      <c r="H391" s="7"/>
      <c r="I391" s="8"/>
    </row>
    <row x14ac:dyDescent="0.25" r="392" customHeight="1" ht="14.25">
      <c r="A392" s="30"/>
      <c r="B392" s="30"/>
      <c r="C392" s="30"/>
      <c r="D392" s="7"/>
      <c r="E392" s="7"/>
      <c r="F392" s="7"/>
      <c r="G392" s="30"/>
      <c r="H392" s="7"/>
      <c r="I392" s="8"/>
    </row>
    <row x14ac:dyDescent="0.25" r="393" customHeight="1" ht="14.25">
      <c r="A393" s="30"/>
      <c r="B393" s="30"/>
      <c r="C393" s="30"/>
      <c r="D393" s="7"/>
      <c r="E393" s="7"/>
      <c r="F393" s="7"/>
      <c r="G393" s="30"/>
      <c r="H393" s="7"/>
      <c r="I393" s="8"/>
    </row>
    <row x14ac:dyDescent="0.25" r="394" customHeight="1" ht="14.25">
      <c r="A394" s="30"/>
      <c r="B394" s="30"/>
      <c r="C394" s="30"/>
      <c r="D394" s="7"/>
      <c r="E394" s="7"/>
      <c r="F394" s="7"/>
      <c r="G394" s="30"/>
      <c r="H394" s="7"/>
      <c r="I394" s="8"/>
    </row>
    <row x14ac:dyDescent="0.25" r="395" customHeight="1" ht="14.25">
      <c r="A395" s="30"/>
      <c r="B395" s="30"/>
      <c r="C395" s="30"/>
      <c r="D395" s="7"/>
      <c r="E395" s="7"/>
      <c r="F395" s="7"/>
      <c r="G395" s="30"/>
      <c r="H395" s="7"/>
      <c r="I395" s="8"/>
    </row>
    <row x14ac:dyDescent="0.25" r="396" customHeight="1" ht="14.25">
      <c r="A396" s="30"/>
      <c r="B396" s="30"/>
      <c r="C396" s="30"/>
      <c r="D396" s="7"/>
      <c r="E396" s="7"/>
      <c r="F396" s="7"/>
      <c r="G396" s="30"/>
      <c r="H396" s="7"/>
      <c r="I396" s="8"/>
    </row>
    <row x14ac:dyDescent="0.25" r="397" customHeight="1" ht="14.25">
      <c r="A397" s="30"/>
      <c r="B397" s="30"/>
      <c r="C397" s="30"/>
      <c r="D397" s="7"/>
      <c r="E397" s="7"/>
      <c r="F397" s="7"/>
      <c r="G397" s="30"/>
      <c r="H397" s="7"/>
      <c r="I397" s="8"/>
    </row>
    <row x14ac:dyDescent="0.25" r="398" customHeight="1" ht="14.25">
      <c r="A398" s="30"/>
      <c r="B398" s="30"/>
      <c r="C398" s="30"/>
      <c r="D398" s="7"/>
      <c r="E398" s="7"/>
      <c r="F398" s="7"/>
      <c r="G398" s="30"/>
      <c r="H398" s="7"/>
      <c r="I398" s="8"/>
    </row>
    <row x14ac:dyDescent="0.25" r="399" customHeight="1" ht="14.25">
      <c r="A399" s="30"/>
      <c r="B399" s="30"/>
      <c r="C399" s="30"/>
      <c r="D399" s="7"/>
      <c r="E399" s="7"/>
      <c r="F399" s="7"/>
      <c r="G399" s="30"/>
      <c r="H399" s="7"/>
      <c r="I399" s="8"/>
    </row>
    <row x14ac:dyDescent="0.25" r="400" customHeight="1" ht="14.25">
      <c r="A400" s="30"/>
      <c r="B400" s="30"/>
      <c r="C400" s="30"/>
      <c r="D400" s="7"/>
      <c r="E400" s="7"/>
      <c r="F400" s="7"/>
      <c r="G400" s="30"/>
      <c r="H400" s="7"/>
      <c r="I400" s="8"/>
    </row>
    <row x14ac:dyDescent="0.25" r="401" customHeight="1" ht="14.25">
      <c r="A401" s="30"/>
      <c r="B401" s="30"/>
      <c r="C401" s="30"/>
      <c r="D401" s="7"/>
      <c r="E401" s="7"/>
      <c r="F401" s="7"/>
      <c r="G401" s="30"/>
      <c r="H401" s="7"/>
      <c r="I401" s="8"/>
    </row>
    <row x14ac:dyDescent="0.25" r="402" customHeight="1" ht="14.25">
      <c r="A402" s="30"/>
      <c r="B402" s="30"/>
      <c r="C402" s="30"/>
      <c r="D402" s="7"/>
      <c r="E402" s="7"/>
      <c r="F402" s="7"/>
      <c r="G402" s="30"/>
      <c r="H402" s="7"/>
      <c r="I402" s="8"/>
    </row>
    <row x14ac:dyDescent="0.25" r="403" customHeight="1" ht="14.25">
      <c r="A403" s="30"/>
      <c r="B403" s="30"/>
      <c r="C403" s="30"/>
      <c r="D403" s="7"/>
      <c r="E403" s="7"/>
      <c r="F403" s="7"/>
      <c r="G403" s="30"/>
      <c r="H403" s="7"/>
      <c r="I403" s="8"/>
    </row>
    <row x14ac:dyDescent="0.25" r="404" customHeight="1" ht="14.25">
      <c r="A404" s="30"/>
      <c r="B404" s="30"/>
      <c r="C404" s="30"/>
      <c r="D404" s="7"/>
      <c r="E404" s="7"/>
      <c r="F404" s="7"/>
      <c r="G404" s="30"/>
      <c r="H404" s="7"/>
      <c r="I404" s="8"/>
    </row>
    <row x14ac:dyDescent="0.25" r="405" customHeight="1" ht="14.25">
      <c r="A405" s="30"/>
      <c r="B405" s="30"/>
      <c r="C405" s="30"/>
      <c r="D405" s="7"/>
      <c r="E405" s="7"/>
      <c r="F405" s="7"/>
      <c r="G405" s="30"/>
      <c r="H405" s="7"/>
      <c r="I405" s="8"/>
    </row>
    <row x14ac:dyDescent="0.25" r="406" customHeight="1" ht="14.25">
      <c r="A406" s="30"/>
      <c r="B406" s="30"/>
      <c r="C406" s="30"/>
      <c r="D406" s="7"/>
      <c r="E406" s="7"/>
      <c r="F406" s="7"/>
      <c r="G406" s="30"/>
      <c r="H406" s="7"/>
      <c r="I406" s="8"/>
    </row>
    <row x14ac:dyDescent="0.25" r="407" customHeight="1" ht="14.25">
      <c r="A407" s="30"/>
      <c r="B407" s="30"/>
      <c r="C407" s="30"/>
      <c r="D407" s="7"/>
      <c r="E407" s="7"/>
      <c r="F407" s="7"/>
      <c r="G407" s="30"/>
      <c r="H407" s="7"/>
      <c r="I407" s="8"/>
    </row>
    <row x14ac:dyDescent="0.25" r="408" customHeight="1" ht="14.25">
      <c r="A408" s="30"/>
      <c r="B408" s="30"/>
      <c r="C408" s="30"/>
      <c r="D408" s="7"/>
      <c r="E408" s="7"/>
      <c r="F408" s="7"/>
      <c r="G408" s="30"/>
      <c r="H408" s="7"/>
      <c r="I408" s="8"/>
    </row>
    <row x14ac:dyDescent="0.25" r="409" customHeight="1" ht="14.25">
      <c r="A409" s="30"/>
      <c r="B409" s="30"/>
      <c r="C409" s="30"/>
      <c r="D409" s="7"/>
      <c r="E409" s="7"/>
      <c r="F409" s="7"/>
      <c r="G409" s="30"/>
      <c r="H409" s="7"/>
      <c r="I409" s="8"/>
    </row>
    <row x14ac:dyDescent="0.25" r="410" customHeight="1" ht="14.25">
      <c r="A410" s="30"/>
      <c r="B410" s="30"/>
      <c r="C410" s="30"/>
      <c r="D410" s="7"/>
      <c r="E410" s="7"/>
      <c r="F410" s="7"/>
      <c r="G410" s="30"/>
      <c r="H410" s="7"/>
      <c r="I410" s="8"/>
    </row>
    <row x14ac:dyDescent="0.25" r="411" customHeight="1" ht="14.25">
      <c r="A411" s="30"/>
      <c r="B411" s="30"/>
      <c r="C411" s="30"/>
      <c r="D411" s="7"/>
      <c r="E411" s="7"/>
      <c r="F411" s="7"/>
      <c r="G411" s="30"/>
      <c r="H411" s="7"/>
      <c r="I411" s="8"/>
    </row>
    <row x14ac:dyDescent="0.25" r="412" customHeight="1" ht="14.25">
      <c r="A412" s="30"/>
      <c r="B412" s="30"/>
      <c r="C412" s="30"/>
      <c r="D412" s="7"/>
      <c r="E412" s="7"/>
      <c r="F412" s="7"/>
      <c r="G412" s="30"/>
      <c r="H412" s="7"/>
      <c r="I412" s="8"/>
    </row>
    <row x14ac:dyDescent="0.25" r="413" customHeight="1" ht="14.25">
      <c r="A413" s="30"/>
      <c r="B413" s="30"/>
      <c r="C413" s="30"/>
      <c r="D413" s="7"/>
      <c r="E413" s="7"/>
      <c r="F413" s="7"/>
      <c r="G413" s="30"/>
      <c r="H413" s="7"/>
      <c r="I413" s="8"/>
    </row>
    <row x14ac:dyDescent="0.25" r="414" customHeight="1" ht="14.25">
      <c r="A414" s="30"/>
      <c r="B414" s="30"/>
      <c r="C414" s="30"/>
      <c r="D414" s="7"/>
      <c r="E414" s="7"/>
      <c r="F414" s="7"/>
      <c r="G414" s="30"/>
      <c r="H414" s="7"/>
      <c r="I414" s="8"/>
    </row>
    <row x14ac:dyDescent="0.25" r="415" customHeight="1" ht="14.25">
      <c r="A415" s="30"/>
      <c r="B415" s="30"/>
      <c r="C415" s="30"/>
      <c r="D415" s="7"/>
      <c r="E415" s="7"/>
      <c r="F415" s="7"/>
      <c r="G415" s="30"/>
      <c r="H415" s="7"/>
      <c r="I415" s="8"/>
    </row>
    <row x14ac:dyDescent="0.25" r="416" customHeight="1" ht="14.25">
      <c r="A416" s="30"/>
      <c r="B416" s="30"/>
      <c r="C416" s="30"/>
      <c r="D416" s="7"/>
      <c r="E416" s="7"/>
      <c r="F416" s="7"/>
      <c r="G416" s="30"/>
      <c r="H416" s="7"/>
      <c r="I416" s="8"/>
    </row>
    <row x14ac:dyDescent="0.25" r="417" customHeight="1" ht="14.25">
      <c r="A417" s="30"/>
      <c r="B417" s="30"/>
      <c r="C417" s="30"/>
      <c r="D417" s="7"/>
      <c r="E417" s="7"/>
      <c r="F417" s="7"/>
      <c r="G417" s="30"/>
      <c r="H417" s="7"/>
      <c r="I417" s="8"/>
    </row>
    <row x14ac:dyDescent="0.25" r="418" customHeight="1" ht="14.25">
      <c r="A418" s="30"/>
      <c r="B418" s="30"/>
      <c r="C418" s="30"/>
      <c r="D418" s="7"/>
      <c r="E418" s="7"/>
      <c r="F418" s="7"/>
      <c r="G418" s="30"/>
      <c r="H418" s="7"/>
      <c r="I418" s="8"/>
    </row>
    <row x14ac:dyDescent="0.25" r="419" customHeight="1" ht="14.25">
      <c r="A419" s="30"/>
      <c r="B419" s="30"/>
      <c r="C419" s="30"/>
      <c r="D419" s="7"/>
      <c r="E419" s="7"/>
      <c r="F419" s="7"/>
      <c r="G419" s="30"/>
      <c r="H419" s="7"/>
      <c r="I419" s="8"/>
    </row>
    <row x14ac:dyDescent="0.25" r="420" customHeight="1" ht="14.25">
      <c r="A420" s="30"/>
      <c r="B420" s="30"/>
      <c r="C420" s="30"/>
      <c r="D420" s="7"/>
      <c r="E420" s="7"/>
      <c r="F420" s="7"/>
      <c r="G420" s="30"/>
      <c r="H420" s="7"/>
      <c r="I420" s="8"/>
    </row>
    <row x14ac:dyDescent="0.25" r="421" customHeight="1" ht="14.25">
      <c r="A421" s="30"/>
      <c r="B421" s="30"/>
      <c r="C421" s="30"/>
      <c r="D421" s="7"/>
      <c r="E421" s="7"/>
      <c r="F421" s="7"/>
      <c r="G421" s="30"/>
      <c r="H421" s="7"/>
      <c r="I421" s="8"/>
    </row>
    <row x14ac:dyDescent="0.25" r="422" customHeight="1" ht="14.25">
      <c r="A422" s="30"/>
      <c r="B422" s="30"/>
      <c r="C422" s="30"/>
      <c r="D422" s="7"/>
      <c r="E422" s="7"/>
      <c r="F422" s="7"/>
      <c r="G422" s="30"/>
      <c r="H422" s="7"/>
      <c r="I422" s="8"/>
    </row>
    <row x14ac:dyDescent="0.25" r="423" customHeight="1" ht="14.25">
      <c r="A423" s="30"/>
      <c r="B423" s="30"/>
      <c r="C423" s="30"/>
      <c r="D423" s="7"/>
      <c r="E423" s="7"/>
      <c r="F423" s="7"/>
      <c r="G423" s="30"/>
      <c r="H423" s="7"/>
      <c r="I423" s="8"/>
    </row>
    <row x14ac:dyDescent="0.25" r="424" customHeight="1" ht="14.25">
      <c r="A424" s="30"/>
      <c r="B424" s="30"/>
      <c r="C424" s="30"/>
      <c r="D424" s="7"/>
      <c r="E424" s="7"/>
      <c r="F424" s="7"/>
      <c r="G424" s="30"/>
      <c r="H424" s="7"/>
      <c r="I424" s="8"/>
    </row>
    <row x14ac:dyDescent="0.25" r="425" customHeight="1" ht="14.25">
      <c r="A425" s="30"/>
      <c r="B425" s="30"/>
      <c r="C425" s="30"/>
      <c r="D425" s="7"/>
      <c r="E425" s="7"/>
      <c r="F425" s="7"/>
      <c r="G425" s="30"/>
      <c r="H425" s="7"/>
      <c r="I425" s="8"/>
    </row>
    <row x14ac:dyDescent="0.25" r="426" customHeight="1" ht="14.25">
      <c r="A426" s="30"/>
      <c r="B426" s="30"/>
      <c r="C426" s="30"/>
      <c r="D426" s="7"/>
      <c r="E426" s="7"/>
      <c r="F426" s="7"/>
      <c r="G426" s="30"/>
      <c r="H426" s="7"/>
      <c r="I426" s="8"/>
    </row>
    <row x14ac:dyDescent="0.25" r="427" customHeight="1" ht="14.25">
      <c r="A427" s="30"/>
      <c r="B427" s="30"/>
      <c r="C427" s="30"/>
      <c r="D427" s="7"/>
      <c r="E427" s="7"/>
      <c r="F427" s="7"/>
      <c r="G427" s="30"/>
      <c r="H427" s="7"/>
      <c r="I427" s="8"/>
    </row>
    <row x14ac:dyDescent="0.25" r="428" customHeight="1" ht="14.25">
      <c r="A428" s="30"/>
      <c r="B428" s="30"/>
      <c r="C428" s="30"/>
      <c r="D428" s="7"/>
      <c r="E428" s="7"/>
      <c r="F428" s="7"/>
      <c r="G428" s="30"/>
      <c r="H428" s="7"/>
      <c r="I428" s="8"/>
    </row>
    <row x14ac:dyDescent="0.25" r="429" customHeight="1" ht="14.25">
      <c r="A429" s="30"/>
      <c r="B429" s="30"/>
      <c r="C429" s="30"/>
      <c r="D429" s="7"/>
      <c r="E429" s="7"/>
      <c r="F429" s="7"/>
      <c r="G429" s="30"/>
      <c r="H429" s="7"/>
      <c r="I429" s="8"/>
    </row>
    <row x14ac:dyDescent="0.25" r="430" customHeight="1" ht="14.25">
      <c r="A430" s="30"/>
      <c r="B430" s="30"/>
      <c r="C430" s="30"/>
      <c r="D430" s="7"/>
      <c r="E430" s="7"/>
      <c r="F430" s="7"/>
      <c r="G430" s="30"/>
      <c r="H430" s="7"/>
      <c r="I430" s="8"/>
    </row>
    <row x14ac:dyDescent="0.25" r="431" customHeight="1" ht="14.25">
      <c r="A431" s="30"/>
      <c r="B431" s="30"/>
      <c r="C431" s="30"/>
      <c r="D431" s="7"/>
      <c r="E431" s="7"/>
      <c r="F431" s="7"/>
      <c r="G431" s="30"/>
      <c r="H431" s="7"/>
      <c r="I431" s="8"/>
    </row>
    <row x14ac:dyDescent="0.25" r="432" customHeight="1" ht="14.25">
      <c r="A432" s="30"/>
      <c r="B432" s="30"/>
      <c r="C432" s="30"/>
      <c r="D432" s="7"/>
      <c r="E432" s="7"/>
      <c r="F432" s="7"/>
      <c r="G432" s="30"/>
      <c r="H432" s="7"/>
      <c r="I432" s="8"/>
    </row>
    <row x14ac:dyDescent="0.25" r="433" customHeight="1" ht="14.25">
      <c r="A433" s="30"/>
      <c r="B433" s="30"/>
      <c r="C433" s="30"/>
      <c r="D433" s="7"/>
      <c r="E433" s="7"/>
      <c r="F433" s="7"/>
      <c r="G433" s="30"/>
      <c r="H433" s="7"/>
      <c r="I433" s="8"/>
    </row>
    <row x14ac:dyDescent="0.25" r="434" customHeight="1" ht="14.25">
      <c r="A434" s="30"/>
      <c r="B434" s="30"/>
      <c r="C434" s="30"/>
      <c r="D434" s="7"/>
      <c r="E434" s="7"/>
      <c r="F434" s="7"/>
      <c r="G434" s="30"/>
      <c r="H434" s="7"/>
      <c r="I434" s="8"/>
    </row>
    <row x14ac:dyDescent="0.25" r="435" customHeight="1" ht="14.25">
      <c r="A435" s="30"/>
      <c r="B435" s="30"/>
      <c r="C435" s="30"/>
      <c r="D435" s="7"/>
      <c r="E435" s="7"/>
      <c r="F435" s="7"/>
      <c r="G435" s="30"/>
      <c r="H435" s="7"/>
      <c r="I435" s="8"/>
    </row>
    <row x14ac:dyDescent="0.25" r="436" customHeight="1" ht="14.25">
      <c r="A436" s="30"/>
      <c r="B436" s="30"/>
      <c r="C436" s="30"/>
      <c r="D436" s="7"/>
      <c r="E436" s="7"/>
      <c r="F436" s="7"/>
      <c r="G436" s="30"/>
      <c r="H436" s="7"/>
      <c r="I436" s="8"/>
    </row>
    <row x14ac:dyDescent="0.25" r="437" customHeight="1" ht="14.25">
      <c r="A437" s="30"/>
      <c r="B437" s="30"/>
      <c r="C437" s="30"/>
      <c r="D437" s="7"/>
      <c r="E437" s="7"/>
      <c r="F437" s="7"/>
      <c r="G437" s="30"/>
      <c r="H437" s="7"/>
      <c r="I437" s="8"/>
    </row>
    <row x14ac:dyDescent="0.25" r="438" customHeight="1" ht="14.25">
      <c r="A438" s="30"/>
      <c r="B438" s="30"/>
      <c r="C438" s="30"/>
      <c r="D438" s="7"/>
      <c r="E438" s="7"/>
      <c r="F438" s="7"/>
      <c r="G438" s="30"/>
      <c r="H438" s="7"/>
      <c r="I438" s="8"/>
    </row>
    <row x14ac:dyDescent="0.25" r="439" customHeight="1" ht="14.25">
      <c r="A439" s="30"/>
      <c r="B439" s="30"/>
      <c r="C439" s="30"/>
      <c r="D439" s="7"/>
      <c r="E439" s="7"/>
      <c r="F439" s="7"/>
      <c r="G439" s="30"/>
      <c r="H439" s="7"/>
      <c r="I439" s="8"/>
    </row>
    <row x14ac:dyDescent="0.25" r="440" customHeight="1" ht="14.25">
      <c r="A440" s="30"/>
      <c r="B440" s="30"/>
      <c r="C440" s="30"/>
      <c r="D440" s="7"/>
      <c r="E440" s="7"/>
      <c r="F440" s="7"/>
      <c r="G440" s="30"/>
      <c r="H440" s="7"/>
      <c r="I440" s="8"/>
    </row>
    <row x14ac:dyDescent="0.25" r="441" customHeight="1" ht="14.25">
      <c r="A441" s="30"/>
      <c r="B441" s="30"/>
      <c r="C441" s="30"/>
      <c r="D441" s="7"/>
      <c r="E441" s="7"/>
      <c r="F441" s="7"/>
      <c r="G441" s="30"/>
      <c r="H441" s="7"/>
      <c r="I441" s="8"/>
    </row>
    <row x14ac:dyDescent="0.25" r="442" customHeight="1" ht="14.25">
      <c r="A442" s="30"/>
      <c r="B442" s="30"/>
      <c r="C442" s="30"/>
      <c r="D442" s="7"/>
      <c r="E442" s="7"/>
      <c r="F442" s="7"/>
      <c r="G442" s="30"/>
      <c r="H442" s="7"/>
      <c r="I442" s="8"/>
    </row>
    <row x14ac:dyDescent="0.25" r="443" customHeight="1" ht="14.25">
      <c r="A443" s="30"/>
      <c r="B443" s="30"/>
      <c r="C443" s="30"/>
      <c r="D443" s="7"/>
      <c r="E443" s="7"/>
      <c r="F443" s="7"/>
      <c r="G443" s="30"/>
      <c r="H443" s="7"/>
      <c r="I443" s="8"/>
    </row>
    <row x14ac:dyDescent="0.25" r="444" customHeight="1" ht="14.25">
      <c r="A444" s="30"/>
      <c r="B444" s="30"/>
      <c r="C444" s="30"/>
      <c r="D444" s="7"/>
      <c r="E444" s="7"/>
      <c r="F444" s="7"/>
      <c r="G444" s="30"/>
      <c r="H444" s="7"/>
      <c r="I444" s="8"/>
    </row>
    <row x14ac:dyDescent="0.25" r="445" customHeight="1" ht="14.25">
      <c r="A445" s="30"/>
      <c r="B445" s="30"/>
      <c r="C445" s="30"/>
      <c r="D445" s="7"/>
      <c r="E445" s="7"/>
      <c r="F445" s="7"/>
      <c r="G445" s="30"/>
      <c r="H445" s="7"/>
      <c r="I445" s="8"/>
    </row>
    <row x14ac:dyDescent="0.25" r="446" customHeight="1" ht="14.25">
      <c r="A446" s="30"/>
      <c r="B446" s="30"/>
      <c r="C446" s="30"/>
      <c r="D446" s="7"/>
      <c r="E446" s="7"/>
      <c r="F446" s="7"/>
      <c r="G446" s="30"/>
      <c r="H446" s="7"/>
      <c r="I446" s="8"/>
    </row>
    <row x14ac:dyDescent="0.25" r="447" customHeight="1" ht="14.25">
      <c r="A447" s="30"/>
      <c r="B447" s="30"/>
      <c r="C447" s="30"/>
      <c r="D447" s="7"/>
      <c r="E447" s="7"/>
      <c r="F447" s="7"/>
      <c r="G447" s="30"/>
      <c r="H447" s="7"/>
      <c r="I447" s="8"/>
    </row>
    <row x14ac:dyDescent="0.25" r="448" customHeight="1" ht="14.25">
      <c r="A448" s="30"/>
      <c r="B448" s="30"/>
      <c r="C448" s="30"/>
      <c r="D448" s="7"/>
      <c r="E448" s="7"/>
      <c r="F448" s="7"/>
      <c r="G448" s="30"/>
      <c r="H448" s="7"/>
      <c r="I448" s="8"/>
    </row>
    <row x14ac:dyDescent="0.25" r="449" customHeight="1" ht="14.25">
      <c r="A449" s="30"/>
      <c r="B449" s="30"/>
      <c r="C449" s="30"/>
      <c r="D449" s="7"/>
      <c r="E449" s="7"/>
      <c r="F449" s="7"/>
      <c r="G449" s="30"/>
      <c r="H449" s="7"/>
      <c r="I449" s="8"/>
    </row>
    <row x14ac:dyDescent="0.25" r="450" customHeight="1" ht="14.25">
      <c r="A450" s="30"/>
      <c r="B450" s="30"/>
      <c r="C450" s="30"/>
      <c r="D450" s="7"/>
      <c r="E450" s="7"/>
      <c r="F450" s="7"/>
      <c r="G450" s="30"/>
      <c r="H450" s="7"/>
      <c r="I450" s="8"/>
    </row>
    <row x14ac:dyDescent="0.25" r="451" customHeight="1" ht="14.25">
      <c r="A451" s="30"/>
      <c r="B451" s="30"/>
      <c r="C451" s="30"/>
      <c r="D451" s="7"/>
      <c r="E451" s="7"/>
      <c r="F451" s="7"/>
      <c r="G451" s="30"/>
      <c r="H451" s="7"/>
      <c r="I451" s="8"/>
    </row>
    <row x14ac:dyDescent="0.25" r="452" customHeight="1" ht="14.25">
      <c r="A452" s="30"/>
      <c r="B452" s="30"/>
      <c r="C452" s="30"/>
      <c r="D452" s="7"/>
      <c r="E452" s="7"/>
      <c r="F452" s="7"/>
      <c r="G452" s="30"/>
      <c r="H452" s="7"/>
      <c r="I452" s="8"/>
    </row>
    <row x14ac:dyDescent="0.25" r="453" customHeight="1" ht="14.25">
      <c r="A453" s="30"/>
      <c r="B453" s="30"/>
      <c r="C453" s="30"/>
      <c r="D453" s="7"/>
      <c r="E453" s="7"/>
      <c r="F453" s="7"/>
      <c r="G453" s="30"/>
      <c r="H453" s="7"/>
      <c r="I453" s="8"/>
    </row>
    <row x14ac:dyDescent="0.25" r="454" customHeight="1" ht="14.25">
      <c r="A454" s="30"/>
      <c r="B454" s="30"/>
      <c r="C454" s="30"/>
      <c r="D454" s="7"/>
      <c r="E454" s="7"/>
      <c r="F454" s="7"/>
      <c r="G454" s="30"/>
      <c r="H454" s="7"/>
      <c r="I454" s="8"/>
    </row>
    <row x14ac:dyDescent="0.25" r="455" customHeight="1" ht="14.25">
      <c r="A455" s="30"/>
      <c r="B455" s="30"/>
      <c r="C455" s="30"/>
      <c r="D455" s="7"/>
      <c r="E455" s="7"/>
      <c r="F455" s="7"/>
      <c r="G455" s="30"/>
      <c r="H455" s="7"/>
      <c r="I455" s="8"/>
    </row>
    <row x14ac:dyDescent="0.25" r="456" customHeight="1" ht="14.25">
      <c r="A456" s="30"/>
      <c r="B456" s="30"/>
      <c r="C456" s="30"/>
      <c r="D456" s="7"/>
      <c r="E456" s="7"/>
      <c r="F456" s="7"/>
      <c r="G456" s="30"/>
      <c r="H456" s="7"/>
      <c r="I456" s="8"/>
    </row>
    <row x14ac:dyDescent="0.25" r="457" customHeight="1" ht="14.25">
      <c r="A457" s="30"/>
      <c r="B457" s="30"/>
      <c r="C457" s="30"/>
      <c r="D457" s="7"/>
      <c r="E457" s="7"/>
      <c r="F457" s="7"/>
      <c r="G457" s="30"/>
      <c r="H457" s="7"/>
      <c r="I457" s="8"/>
    </row>
    <row x14ac:dyDescent="0.25" r="458" customHeight="1" ht="14.25">
      <c r="A458" s="30"/>
      <c r="B458" s="30"/>
      <c r="C458" s="30"/>
      <c r="D458" s="7"/>
      <c r="E458" s="7"/>
      <c r="F458" s="7"/>
      <c r="G458" s="30"/>
      <c r="H458" s="7"/>
      <c r="I458" s="8"/>
    </row>
    <row x14ac:dyDescent="0.25" r="459" customHeight="1" ht="14.25">
      <c r="A459" s="30"/>
      <c r="B459" s="30"/>
      <c r="C459" s="30"/>
      <c r="D459" s="7"/>
      <c r="E459" s="7"/>
      <c r="F459" s="7"/>
      <c r="G459" s="30"/>
      <c r="H459" s="7"/>
      <c r="I459" s="8"/>
    </row>
    <row x14ac:dyDescent="0.25" r="460" customHeight="1" ht="14.25">
      <c r="A460" s="30"/>
      <c r="B460" s="30"/>
      <c r="C460" s="30"/>
      <c r="D460" s="7"/>
      <c r="E460" s="7"/>
      <c r="F460" s="7"/>
      <c r="G460" s="30"/>
      <c r="H460" s="7"/>
      <c r="I460" s="8"/>
    </row>
    <row x14ac:dyDescent="0.25" r="461" customHeight="1" ht="14.25">
      <c r="A461" s="30"/>
      <c r="B461" s="30"/>
      <c r="C461" s="30"/>
      <c r="D461" s="7"/>
      <c r="E461" s="7"/>
      <c r="F461" s="7"/>
      <c r="G461" s="30"/>
      <c r="H461" s="7"/>
      <c r="I461" s="8"/>
    </row>
    <row x14ac:dyDescent="0.25" r="462" customHeight="1" ht="14.25">
      <c r="A462" s="30"/>
      <c r="B462" s="30"/>
      <c r="C462" s="30"/>
      <c r="D462" s="7"/>
      <c r="E462" s="7"/>
      <c r="F462" s="7"/>
      <c r="G462" s="30"/>
      <c r="H462" s="7"/>
      <c r="I462" s="8"/>
    </row>
    <row x14ac:dyDescent="0.25" r="463" customHeight="1" ht="14.25">
      <c r="A463" s="30"/>
      <c r="B463" s="30"/>
      <c r="C463" s="30"/>
      <c r="D463" s="7"/>
      <c r="E463" s="7"/>
      <c r="F463" s="7"/>
      <c r="G463" s="30"/>
      <c r="H463" s="7"/>
      <c r="I463" s="8"/>
    </row>
    <row x14ac:dyDescent="0.25" r="464" customHeight="1" ht="14.25">
      <c r="A464" s="30"/>
      <c r="B464" s="30"/>
      <c r="C464" s="30"/>
      <c r="D464" s="7"/>
      <c r="E464" s="7"/>
      <c r="F464" s="7"/>
      <c r="G464" s="30"/>
      <c r="H464" s="7"/>
      <c r="I464" s="8"/>
    </row>
    <row x14ac:dyDescent="0.25" r="465" customHeight="1" ht="14.25">
      <c r="A465" s="30"/>
      <c r="B465" s="30"/>
      <c r="C465" s="30"/>
      <c r="D465" s="7"/>
      <c r="E465" s="7"/>
      <c r="F465" s="7"/>
      <c r="G465" s="30"/>
      <c r="H465" s="7"/>
      <c r="I465" s="8"/>
    </row>
    <row x14ac:dyDescent="0.25" r="466" customHeight="1" ht="14.25">
      <c r="A466" s="30"/>
      <c r="B466" s="30"/>
      <c r="C466" s="30"/>
      <c r="D466" s="7"/>
      <c r="E466" s="7"/>
      <c r="F466" s="7"/>
      <c r="G466" s="30"/>
      <c r="H466" s="7"/>
      <c r="I466" s="8"/>
    </row>
    <row x14ac:dyDescent="0.25" r="467" customHeight="1" ht="14.25">
      <c r="A467" s="30"/>
      <c r="B467" s="30"/>
      <c r="C467" s="30"/>
      <c r="D467" s="7"/>
      <c r="E467" s="7"/>
      <c r="F467" s="7"/>
      <c r="G467" s="30"/>
      <c r="H467" s="7"/>
      <c r="I467" s="8"/>
    </row>
    <row x14ac:dyDescent="0.25" r="468" customHeight="1" ht="14.25">
      <c r="A468" s="30"/>
      <c r="B468" s="30"/>
      <c r="C468" s="30"/>
      <c r="D468" s="7"/>
      <c r="E468" s="7"/>
      <c r="F468" s="7"/>
      <c r="G468" s="30"/>
      <c r="H468" s="7"/>
      <c r="I468" s="8"/>
    </row>
    <row x14ac:dyDescent="0.25" r="469" customHeight="1" ht="14.25">
      <c r="A469" s="30"/>
      <c r="B469" s="30"/>
      <c r="C469" s="30"/>
      <c r="D469" s="7"/>
      <c r="E469" s="7"/>
      <c r="F469" s="7"/>
      <c r="G469" s="30"/>
      <c r="H469" s="7"/>
      <c r="I469" s="8"/>
    </row>
    <row x14ac:dyDescent="0.25" r="470" customHeight="1" ht="14.25">
      <c r="A470" s="30"/>
      <c r="B470" s="30"/>
      <c r="C470" s="30"/>
      <c r="D470" s="7"/>
      <c r="E470" s="7"/>
      <c r="F470" s="7"/>
      <c r="G470" s="30"/>
      <c r="H470" s="7"/>
      <c r="I470" s="8"/>
    </row>
    <row x14ac:dyDescent="0.25" r="471" customHeight="1" ht="14.25">
      <c r="A471" s="30"/>
      <c r="B471" s="30"/>
      <c r="C471" s="30"/>
      <c r="D471" s="7"/>
      <c r="E471" s="7"/>
      <c r="F471" s="7"/>
      <c r="G471" s="30"/>
      <c r="H471" s="7"/>
      <c r="I471" s="8"/>
    </row>
    <row x14ac:dyDescent="0.25" r="472" customHeight="1" ht="14.25">
      <c r="A472" s="30"/>
      <c r="B472" s="30"/>
      <c r="C472" s="30"/>
      <c r="D472" s="7"/>
      <c r="E472" s="7"/>
      <c r="F472" s="7"/>
      <c r="G472" s="30"/>
      <c r="H472" s="7"/>
      <c r="I472" s="8"/>
    </row>
    <row x14ac:dyDescent="0.25" r="473" customHeight="1" ht="14.25">
      <c r="A473" s="30"/>
      <c r="B473" s="30"/>
      <c r="C473" s="30"/>
      <c r="D473" s="7"/>
      <c r="E473" s="7"/>
      <c r="F473" s="7"/>
      <c r="G473" s="30"/>
      <c r="H473" s="7"/>
      <c r="I473" s="8"/>
    </row>
    <row x14ac:dyDescent="0.25" r="474" customHeight="1" ht="14.25">
      <c r="A474" s="30"/>
      <c r="B474" s="30"/>
      <c r="C474" s="30"/>
      <c r="D474" s="7"/>
      <c r="E474" s="7"/>
      <c r="F474" s="7"/>
      <c r="G474" s="30"/>
      <c r="H474" s="7"/>
      <c r="I474" s="8"/>
    </row>
    <row x14ac:dyDescent="0.25" r="475" customHeight="1" ht="14.25">
      <c r="A475" s="30"/>
      <c r="B475" s="30"/>
      <c r="C475" s="30"/>
      <c r="D475" s="7"/>
      <c r="E475" s="7"/>
      <c r="F475" s="7"/>
      <c r="G475" s="30"/>
      <c r="H475" s="7"/>
      <c r="I475" s="8"/>
    </row>
    <row x14ac:dyDescent="0.25" r="476" customHeight="1" ht="14.25">
      <c r="A476" s="30"/>
      <c r="B476" s="30"/>
      <c r="C476" s="30"/>
      <c r="D476" s="7"/>
      <c r="E476" s="7"/>
      <c r="F476" s="7"/>
      <c r="G476" s="30"/>
      <c r="H476" s="7"/>
      <c r="I476" s="8"/>
    </row>
    <row x14ac:dyDescent="0.25" r="477" customHeight="1" ht="14.25">
      <c r="A477" s="30"/>
      <c r="B477" s="30"/>
      <c r="C477" s="30"/>
      <c r="D477" s="7"/>
      <c r="E477" s="7"/>
      <c r="F477" s="7"/>
      <c r="G477" s="30"/>
      <c r="H477" s="7"/>
      <c r="I477" s="8"/>
    </row>
    <row x14ac:dyDescent="0.25" r="478" customHeight="1" ht="14.25">
      <c r="A478" s="30"/>
      <c r="B478" s="30"/>
      <c r="C478" s="30"/>
      <c r="D478" s="7"/>
      <c r="E478" s="7"/>
      <c r="F478" s="7"/>
      <c r="G478" s="30"/>
      <c r="H478" s="7"/>
      <c r="I478" s="8"/>
    </row>
    <row x14ac:dyDescent="0.25" r="479" customHeight="1" ht="14.25">
      <c r="A479" s="30"/>
      <c r="B479" s="30"/>
      <c r="C479" s="30"/>
      <c r="D479" s="7"/>
      <c r="E479" s="7"/>
      <c r="F479" s="7"/>
      <c r="G479" s="30"/>
      <c r="H479" s="7"/>
      <c r="I479" s="8"/>
    </row>
    <row x14ac:dyDescent="0.25" r="480" customHeight="1" ht="14.25">
      <c r="A480" s="30"/>
      <c r="B480" s="30"/>
      <c r="C480" s="30"/>
      <c r="D480" s="7"/>
      <c r="E480" s="7"/>
      <c r="F480" s="7"/>
      <c r="G480" s="30"/>
      <c r="H480" s="7"/>
      <c r="I480" s="8"/>
    </row>
    <row x14ac:dyDescent="0.25" r="481" customHeight="1" ht="14.25">
      <c r="A481" s="30"/>
      <c r="B481" s="30"/>
      <c r="C481" s="30"/>
      <c r="D481" s="7"/>
      <c r="E481" s="7"/>
      <c r="F481" s="7"/>
      <c r="G481" s="30"/>
      <c r="H481" s="7"/>
      <c r="I481" s="8"/>
    </row>
    <row x14ac:dyDescent="0.25" r="482" customHeight="1" ht="14.25">
      <c r="A482" s="30"/>
      <c r="B482" s="30"/>
      <c r="C482" s="30"/>
      <c r="D482" s="7"/>
      <c r="E482" s="7"/>
      <c r="F482" s="7"/>
      <c r="G482" s="30"/>
      <c r="H482" s="7"/>
      <c r="I482" s="8"/>
    </row>
    <row x14ac:dyDescent="0.25" r="483" customHeight="1" ht="14.25">
      <c r="A483" s="30"/>
      <c r="B483" s="30"/>
      <c r="C483" s="30"/>
      <c r="D483" s="7"/>
      <c r="E483" s="7"/>
      <c r="F483" s="7"/>
      <c r="G483" s="30"/>
      <c r="H483" s="7"/>
      <c r="I483" s="8"/>
    </row>
    <row x14ac:dyDescent="0.25" r="484" customHeight="1" ht="14.25">
      <c r="A484" s="30"/>
      <c r="B484" s="30"/>
      <c r="C484" s="30"/>
      <c r="D484" s="7"/>
      <c r="E484" s="7"/>
      <c r="F484" s="7"/>
      <c r="G484" s="30"/>
      <c r="H484" s="7"/>
      <c r="I484" s="8"/>
    </row>
    <row x14ac:dyDescent="0.25" r="485" customHeight="1" ht="14.25">
      <c r="A485" s="30"/>
      <c r="B485" s="30"/>
      <c r="C485" s="30"/>
      <c r="D485" s="7"/>
      <c r="E485" s="7"/>
      <c r="F485" s="7"/>
      <c r="G485" s="30"/>
      <c r="H485" s="7"/>
      <c r="I485" s="8"/>
    </row>
    <row x14ac:dyDescent="0.25" r="486" customHeight="1" ht="14.25">
      <c r="A486" s="30"/>
      <c r="B486" s="30"/>
      <c r="C486" s="30"/>
      <c r="D486" s="7"/>
      <c r="E486" s="7"/>
      <c r="F486" s="7"/>
      <c r="G486" s="30"/>
      <c r="H486" s="7"/>
      <c r="I486" s="8"/>
    </row>
    <row x14ac:dyDescent="0.25" r="487" customHeight="1" ht="14.25">
      <c r="A487" s="30"/>
      <c r="B487" s="30"/>
      <c r="C487" s="30"/>
      <c r="D487" s="7"/>
      <c r="E487" s="7"/>
      <c r="F487" s="7"/>
      <c r="G487" s="30"/>
      <c r="H487" s="7"/>
      <c r="I487" s="8"/>
    </row>
    <row x14ac:dyDescent="0.25" r="488" customHeight="1" ht="14.25">
      <c r="A488" s="30"/>
      <c r="B488" s="30"/>
      <c r="C488" s="30"/>
      <c r="D488" s="7"/>
      <c r="E488" s="7"/>
      <c r="F488" s="7"/>
      <c r="G488" s="30"/>
      <c r="H488" s="7"/>
      <c r="I488" s="8"/>
    </row>
    <row x14ac:dyDescent="0.25" r="489" customHeight="1" ht="14.25">
      <c r="A489" s="30"/>
      <c r="B489" s="30"/>
      <c r="C489" s="30"/>
      <c r="D489" s="7"/>
      <c r="E489" s="7"/>
      <c r="F489" s="7"/>
      <c r="G489" s="30"/>
      <c r="H489" s="7"/>
      <c r="I489" s="8"/>
    </row>
    <row x14ac:dyDescent="0.25" r="490" customHeight="1" ht="14.25">
      <c r="A490" s="30"/>
      <c r="B490" s="30"/>
      <c r="C490" s="30"/>
      <c r="D490" s="7"/>
      <c r="E490" s="7"/>
      <c r="F490" s="7"/>
      <c r="G490" s="30"/>
      <c r="H490" s="7"/>
      <c r="I490" s="8"/>
    </row>
    <row x14ac:dyDescent="0.25" r="491" customHeight="1" ht="14.25">
      <c r="A491" s="30"/>
      <c r="B491" s="30"/>
      <c r="C491" s="30"/>
      <c r="D491" s="7"/>
      <c r="E491" s="7"/>
      <c r="F491" s="7"/>
      <c r="G491" s="30"/>
      <c r="H491" s="7"/>
      <c r="I491" s="8"/>
    </row>
    <row x14ac:dyDescent="0.25" r="492" customHeight="1" ht="14.25">
      <c r="A492" s="30"/>
      <c r="B492" s="30"/>
      <c r="C492" s="30"/>
      <c r="D492" s="7"/>
      <c r="E492" s="7"/>
      <c r="F492" s="7"/>
      <c r="G492" s="30"/>
      <c r="H492" s="7"/>
      <c r="I492" s="8"/>
    </row>
    <row x14ac:dyDescent="0.25" r="493" customHeight="1" ht="14.25">
      <c r="A493" s="30"/>
      <c r="B493" s="30"/>
      <c r="C493" s="30"/>
      <c r="D493" s="7"/>
      <c r="E493" s="7"/>
      <c r="F493" s="7"/>
      <c r="G493" s="30"/>
      <c r="H493" s="7"/>
      <c r="I493" s="8"/>
    </row>
    <row x14ac:dyDescent="0.25" r="494" customHeight="1" ht="14.25">
      <c r="A494" s="30"/>
      <c r="B494" s="30"/>
      <c r="C494" s="30"/>
      <c r="D494" s="7"/>
      <c r="E494" s="7"/>
      <c r="F494" s="7"/>
      <c r="G494" s="30"/>
      <c r="H494" s="7"/>
      <c r="I494" s="8"/>
    </row>
    <row x14ac:dyDescent="0.25" r="495" customHeight="1" ht="14.25">
      <c r="A495" s="30"/>
      <c r="B495" s="30"/>
      <c r="C495" s="30"/>
      <c r="D495" s="7"/>
      <c r="E495" s="7"/>
      <c r="F495" s="7"/>
      <c r="G495" s="30"/>
      <c r="H495" s="7"/>
      <c r="I495" s="8"/>
    </row>
    <row x14ac:dyDescent="0.25" r="496" customHeight="1" ht="14.25">
      <c r="A496" s="30"/>
      <c r="B496" s="30"/>
      <c r="C496" s="30"/>
      <c r="D496" s="7"/>
      <c r="E496" s="7"/>
      <c r="F496" s="7"/>
      <c r="G496" s="30"/>
      <c r="H496" s="7"/>
      <c r="I496" s="8"/>
    </row>
    <row x14ac:dyDescent="0.25" r="497" customHeight="1" ht="14.25">
      <c r="A497" s="30"/>
      <c r="B497" s="30"/>
      <c r="C497" s="30"/>
      <c r="D497" s="7"/>
      <c r="E497" s="7"/>
      <c r="F497" s="7"/>
      <c r="G497" s="30"/>
      <c r="H497" s="7"/>
      <c r="I497" s="8"/>
    </row>
    <row x14ac:dyDescent="0.25" r="498" customHeight="1" ht="14.25">
      <c r="A498" s="30"/>
      <c r="B498" s="30"/>
      <c r="C498" s="30"/>
      <c r="D498" s="7"/>
      <c r="E498" s="7"/>
      <c r="F498" s="7"/>
      <c r="G498" s="30"/>
      <c r="H498" s="7"/>
      <c r="I498" s="8"/>
    </row>
    <row x14ac:dyDescent="0.25" r="499" customHeight="1" ht="14.25">
      <c r="A499" s="30"/>
      <c r="B499" s="30"/>
      <c r="C499" s="30"/>
      <c r="D499" s="7"/>
      <c r="E499" s="7"/>
      <c r="F499" s="7"/>
      <c r="G499" s="30"/>
      <c r="H499" s="7"/>
      <c r="I499" s="8"/>
    </row>
    <row x14ac:dyDescent="0.25" r="500" customHeight="1" ht="14.25">
      <c r="A500" s="30"/>
      <c r="B500" s="30"/>
      <c r="C500" s="30"/>
      <c r="D500" s="7"/>
      <c r="E500" s="7"/>
      <c r="F500" s="7"/>
      <c r="G500" s="30"/>
      <c r="H500" s="7"/>
      <c r="I500" s="8"/>
    </row>
    <row x14ac:dyDescent="0.25" r="501" customHeight="1" ht="14.25">
      <c r="A501" s="30"/>
      <c r="B501" s="30"/>
      <c r="C501" s="30"/>
      <c r="D501" s="7"/>
      <c r="E501" s="7"/>
      <c r="F501" s="7"/>
      <c r="G501" s="30"/>
      <c r="H501" s="7"/>
      <c r="I501" s="8"/>
    </row>
    <row x14ac:dyDescent="0.25" r="502" customHeight="1" ht="14.25">
      <c r="A502" s="30"/>
      <c r="B502" s="30"/>
      <c r="C502" s="30"/>
      <c r="D502" s="7"/>
      <c r="E502" s="7"/>
      <c r="F502" s="7"/>
      <c r="G502" s="30"/>
      <c r="H502" s="7"/>
      <c r="I502" s="8"/>
    </row>
    <row x14ac:dyDescent="0.25" r="503" customHeight="1" ht="14.25">
      <c r="A503" s="30"/>
      <c r="B503" s="30"/>
      <c r="C503" s="30"/>
      <c r="D503" s="7"/>
      <c r="E503" s="7"/>
      <c r="F503" s="7"/>
      <c r="G503" s="30"/>
      <c r="H503" s="7"/>
      <c r="I503" s="8"/>
    </row>
    <row x14ac:dyDescent="0.25" r="504" customHeight="1" ht="14.25">
      <c r="A504" s="30"/>
      <c r="B504" s="30"/>
      <c r="C504" s="30"/>
      <c r="D504" s="7"/>
      <c r="E504" s="7"/>
      <c r="F504" s="7"/>
      <c r="G504" s="30"/>
      <c r="H504" s="7"/>
      <c r="I504" s="8"/>
    </row>
    <row x14ac:dyDescent="0.25" r="505" customHeight="1" ht="14.25">
      <c r="A505" s="30"/>
      <c r="B505" s="30"/>
      <c r="C505" s="30"/>
      <c r="D505" s="7"/>
      <c r="E505" s="7"/>
      <c r="F505" s="7"/>
      <c r="G505" s="30"/>
      <c r="H505" s="7"/>
      <c r="I505" s="8"/>
    </row>
    <row x14ac:dyDescent="0.25" r="506" customHeight="1" ht="14.25">
      <c r="A506" s="30"/>
      <c r="B506" s="30"/>
      <c r="C506" s="30"/>
      <c r="D506" s="7"/>
      <c r="E506" s="7"/>
      <c r="F506" s="7"/>
      <c r="G506" s="30"/>
      <c r="H506" s="7"/>
      <c r="I506" s="8"/>
    </row>
    <row x14ac:dyDescent="0.25" r="507" customHeight="1" ht="14.25">
      <c r="A507" s="30"/>
      <c r="B507" s="30"/>
      <c r="C507" s="30"/>
      <c r="D507" s="7"/>
      <c r="E507" s="7"/>
      <c r="F507" s="7"/>
      <c r="G507" s="30"/>
      <c r="H507" s="7"/>
      <c r="I507" s="8"/>
    </row>
    <row x14ac:dyDescent="0.25" r="508" customHeight="1" ht="14.25">
      <c r="A508" s="30"/>
      <c r="B508" s="30"/>
      <c r="C508" s="30"/>
      <c r="D508" s="7"/>
      <c r="E508" s="7"/>
      <c r="F508" s="7"/>
      <c r="G508" s="30"/>
      <c r="H508" s="7"/>
      <c r="I508" s="8"/>
    </row>
    <row x14ac:dyDescent="0.25" r="509" customHeight="1" ht="14.25">
      <c r="A509" s="30"/>
      <c r="B509" s="30"/>
      <c r="C509" s="30"/>
      <c r="D509" s="7"/>
      <c r="E509" s="7"/>
      <c r="F509" s="7"/>
      <c r="G509" s="30"/>
      <c r="H509" s="7"/>
      <c r="I509" s="8"/>
    </row>
    <row x14ac:dyDescent="0.25" r="510" customHeight="1" ht="14.25">
      <c r="A510" s="30"/>
      <c r="B510" s="30"/>
      <c r="C510" s="30"/>
      <c r="D510" s="7"/>
      <c r="E510" s="7"/>
      <c r="F510" s="7"/>
      <c r="G510" s="30"/>
      <c r="H510" s="7"/>
      <c r="I510" s="8"/>
    </row>
    <row x14ac:dyDescent="0.25" r="511" customHeight="1" ht="14.25">
      <c r="A511" s="30"/>
      <c r="B511" s="30"/>
      <c r="C511" s="30"/>
      <c r="D511" s="7"/>
      <c r="E511" s="7"/>
      <c r="F511" s="7"/>
      <c r="G511" s="30"/>
      <c r="H511" s="7"/>
      <c r="I511" s="8"/>
    </row>
    <row x14ac:dyDescent="0.25" r="512" customHeight="1" ht="14.25">
      <c r="A512" s="30"/>
      <c r="B512" s="30"/>
      <c r="C512" s="30"/>
      <c r="D512" s="7"/>
      <c r="E512" s="7"/>
      <c r="F512" s="7"/>
      <c r="G512" s="30"/>
      <c r="H512" s="7"/>
      <c r="I512" s="8"/>
    </row>
    <row x14ac:dyDescent="0.25" r="513" customHeight="1" ht="14.25">
      <c r="A513" s="30"/>
      <c r="B513" s="30"/>
      <c r="C513" s="30"/>
      <c r="D513" s="7"/>
      <c r="E513" s="7"/>
      <c r="F513" s="7"/>
      <c r="G513" s="30"/>
      <c r="H513" s="7"/>
      <c r="I513" s="8"/>
    </row>
    <row x14ac:dyDescent="0.25" r="514" customHeight="1" ht="14.25">
      <c r="A514" s="30"/>
      <c r="B514" s="30"/>
      <c r="C514" s="30"/>
      <c r="D514" s="7"/>
      <c r="E514" s="7"/>
      <c r="F514" s="7"/>
      <c r="G514" s="30"/>
      <c r="H514" s="7"/>
      <c r="I514" s="8"/>
    </row>
    <row x14ac:dyDescent="0.25" r="515" customHeight="1" ht="14.25">
      <c r="A515" s="30"/>
      <c r="B515" s="30"/>
      <c r="C515" s="30"/>
      <c r="D515" s="7"/>
      <c r="E515" s="7"/>
      <c r="F515" s="7"/>
      <c r="G515" s="30"/>
      <c r="H515" s="7"/>
      <c r="I515" s="8"/>
    </row>
    <row x14ac:dyDescent="0.25" r="516" customHeight="1" ht="14.25">
      <c r="A516" s="30"/>
      <c r="B516" s="30"/>
      <c r="C516" s="30"/>
      <c r="D516" s="7"/>
      <c r="E516" s="7"/>
      <c r="F516" s="7"/>
      <c r="G516" s="30"/>
      <c r="H516" s="7"/>
      <c r="I516" s="8"/>
    </row>
    <row x14ac:dyDescent="0.25" r="517" customHeight="1" ht="14.25">
      <c r="A517" s="30"/>
      <c r="B517" s="30"/>
      <c r="C517" s="30"/>
      <c r="D517" s="7"/>
      <c r="E517" s="7"/>
      <c r="F517" s="7"/>
      <c r="G517" s="30"/>
      <c r="H517" s="7"/>
      <c r="I517" s="8"/>
    </row>
    <row x14ac:dyDescent="0.25" r="518" customHeight="1" ht="14.25">
      <c r="A518" s="30"/>
      <c r="B518" s="30"/>
      <c r="C518" s="30"/>
      <c r="D518" s="7"/>
      <c r="E518" s="7"/>
      <c r="F518" s="7"/>
      <c r="G518" s="30"/>
      <c r="H518" s="7"/>
      <c r="I518" s="8"/>
    </row>
    <row x14ac:dyDescent="0.25" r="519" customHeight="1" ht="14.25">
      <c r="A519" s="30"/>
      <c r="B519" s="30"/>
      <c r="C519" s="30"/>
      <c r="D519" s="7"/>
      <c r="E519" s="7"/>
      <c r="F519" s="7"/>
      <c r="G519" s="30"/>
      <c r="H519" s="7"/>
      <c r="I519" s="8"/>
    </row>
    <row x14ac:dyDescent="0.25" r="520" customHeight="1" ht="14.25">
      <c r="A520" s="30"/>
      <c r="B520" s="30"/>
      <c r="C520" s="30"/>
      <c r="D520" s="7"/>
      <c r="E520" s="7"/>
      <c r="F520" s="7"/>
      <c r="G520" s="30"/>
      <c r="H520" s="7"/>
      <c r="I520" s="8"/>
    </row>
    <row x14ac:dyDescent="0.25" r="521" customHeight="1" ht="14.25">
      <c r="A521" s="30"/>
      <c r="B521" s="30"/>
      <c r="C521" s="30"/>
      <c r="D521" s="7"/>
      <c r="E521" s="7"/>
      <c r="F521" s="7"/>
      <c r="G521" s="30"/>
      <c r="H521" s="7"/>
      <c r="I521" s="8"/>
    </row>
    <row x14ac:dyDescent="0.25" r="522" customHeight="1" ht="14.25">
      <c r="A522" s="30"/>
      <c r="B522" s="30"/>
      <c r="C522" s="30"/>
      <c r="D522" s="7"/>
      <c r="E522" s="7"/>
      <c r="F522" s="7"/>
      <c r="G522" s="30"/>
      <c r="H522" s="7"/>
      <c r="I522" s="8"/>
    </row>
    <row x14ac:dyDescent="0.25" r="523" customHeight="1" ht="14.25">
      <c r="A523" s="30"/>
      <c r="B523" s="30"/>
      <c r="C523" s="30"/>
      <c r="D523" s="7"/>
      <c r="E523" s="7"/>
      <c r="F523" s="7"/>
      <c r="G523" s="30"/>
      <c r="H523" s="7"/>
      <c r="I523" s="8"/>
    </row>
    <row x14ac:dyDescent="0.25" r="524" customHeight="1" ht="14.25">
      <c r="A524" s="30"/>
      <c r="B524" s="30"/>
      <c r="C524" s="30"/>
      <c r="D524" s="7"/>
      <c r="E524" s="7"/>
      <c r="F524" s="7"/>
      <c r="G524" s="30"/>
      <c r="H524" s="7"/>
      <c r="I524" s="8"/>
    </row>
    <row x14ac:dyDescent="0.25" r="525" customHeight="1" ht="14.25">
      <c r="A525" s="30"/>
      <c r="B525" s="30"/>
      <c r="C525" s="30"/>
      <c r="D525" s="7"/>
      <c r="E525" s="7"/>
      <c r="F525" s="7"/>
      <c r="G525" s="30"/>
      <c r="H525" s="7"/>
      <c r="I525" s="8"/>
    </row>
    <row x14ac:dyDescent="0.25" r="526" customHeight="1" ht="14.25">
      <c r="A526" s="30"/>
      <c r="B526" s="30"/>
      <c r="C526" s="30"/>
      <c r="D526" s="7"/>
      <c r="E526" s="7"/>
      <c r="F526" s="7"/>
      <c r="G526" s="30"/>
      <c r="H526" s="7"/>
      <c r="I526" s="8"/>
    </row>
    <row x14ac:dyDescent="0.25" r="527" customHeight="1" ht="14.25">
      <c r="A527" s="30"/>
      <c r="B527" s="30"/>
      <c r="C527" s="30"/>
      <c r="D527" s="7"/>
      <c r="E527" s="7"/>
      <c r="F527" s="7"/>
      <c r="G527" s="30"/>
      <c r="H527" s="7"/>
      <c r="I527" s="8"/>
    </row>
    <row x14ac:dyDescent="0.25" r="528" customHeight="1" ht="14.25">
      <c r="A528" s="30"/>
      <c r="B528" s="30"/>
      <c r="C528" s="30"/>
      <c r="D528" s="7"/>
      <c r="E528" s="7"/>
      <c r="F528" s="7"/>
      <c r="G528" s="30"/>
      <c r="H528" s="7"/>
      <c r="I528" s="8"/>
    </row>
    <row x14ac:dyDescent="0.25" r="529" customHeight="1" ht="14.25">
      <c r="A529" s="30"/>
      <c r="B529" s="30"/>
      <c r="C529" s="30"/>
      <c r="D529" s="7"/>
      <c r="E529" s="7"/>
      <c r="F529" s="7"/>
      <c r="G529" s="30"/>
      <c r="H529" s="7"/>
      <c r="I529" s="8"/>
    </row>
    <row x14ac:dyDescent="0.25" r="530" customHeight="1" ht="14.25">
      <c r="A530" s="30"/>
      <c r="B530" s="30"/>
      <c r="C530" s="30"/>
      <c r="D530" s="7"/>
      <c r="E530" s="7"/>
      <c r="F530" s="7"/>
      <c r="G530" s="30"/>
      <c r="H530" s="7"/>
      <c r="I530" s="8"/>
    </row>
    <row x14ac:dyDescent="0.25" r="531" customHeight="1" ht="14.25">
      <c r="A531" s="30"/>
      <c r="B531" s="30"/>
      <c r="C531" s="30"/>
      <c r="D531" s="7"/>
      <c r="E531" s="7"/>
      <c r="F531" s="7"/>
      <c r="G531" s="30"/>
      <c r="H531" s="7"/>
      <c r="I531" s="8"/>
    </row>
    <row x14ac:dyDescent="0.25" r="532" customHeight="1" ht="14.25">
      <c r="A532" s="30"/>
      <c r="B532" s="30"/>
      <c r="C532" s="30"/>
      <c r="D532" s="7"/>
      <c r="E532" s="7"/>
      <c r="F532" s="7"/>
      <c r="G532" s="30"/>
      <c r="H532" s="7"/>
      <c r="I532" s="8"/>
    </row>
    <row x14ac:dyDescent="0.25" r="533" customHeight="1" ht="14.25">
      <c r="A533" s="30"/>
      <c r="B533" s="30"/>
      <c r="C533" s="30"/>
      <c r="D533" s="7"/>
      <c r="E533" s="7"/>
      <c r="F533" s="7"/>
      <c r="G533" s="30"/>
      <c r="H533" s="7"/>
      <c r="I533" s="8"/>
    </row>
    <row x14ac:dyDescent="0.25" r="534" customHeight="1" ht="14.25">
      <c r="A534" s="30"/>
      <c r="B534" s="30"/>
      <c r="C534" s="30"/>
      <c r="D534" s="7"/>
      <c r="E534" s="7"/>
      <c r="F534" s="7"/>
      <c r="G534" s="30"/>
      <c r="H534" s="7"/>
      <c r="I534" s="8"/>
    </row>
    <row x14ac:dyDescent="0.25" r="535" customHeight="1" ht="14.25">
      <c r="A535" s="30"/>
      <c r="B535" s="30"/>
      <c r="C535" s="30"/>
      <c r="D535" s="7"/>
      <c r="E535" s="7"/>
      <c r="F535" s="7"/>
      <c r="G535" s="30"/>
      <c r="H535" s="7"/>
      <c r="I535" s="8"/>
    </row>
    <row x14ac:dyDescent="0.25" r="536" customHeight="1" ht="14.25">
      <c r="A536" s="30"/>
      <c r="B536" s="30"/>
      <c r="C536" s="30"/>
      <c r="D536" s="7"/>
      <c r="E536" s="7"/>
      <c r="F536" s="7"/>
      <c r="G536" s="30"/>
      <c r="H536" s="7"/>
      <c r="I536" s="8"/>
    </row>
    <row x14ac:dyDescent="0.25" r="537" customHeight="1" ht="14.25">
      <c r="A537" s="30"/>
      <c r="B537" s="30"/>
      <c r="C537" s="30"/>
      <c r="D537" s="7"/>
      <c r="E537" s="7"/>
      <c r="F537" s="7"/>
      <c r="G537" s="30"/>
      <c r="H537" s="7"/>
      <c r="I537" s="8"/>
    </row>
    <row x14ac:dyDescent="0.25" r="538" customHeight="1" ht="14.25">
      <c r="A538" s="30"/>
      <c r="B538" s="30"/>
      <c r="C538" s="30"/>
      <c r="D538" s="7"/>
      <c r="E538" s="7"/>
      <c r="F538" s="7"/>
      <c r="G538" s="30"/>
      <c r="H538" s="7"/>
      <c r="I538" s="8"/>
    </row>
    <row x14ac:dyDescent="0.25" r="539" customHeight="1" ht="14.25">
      <c r="A539" s="30"/>
      <c r="B539" s="30"/>
      <c r="C539" s="30"/>
      <c r="D539" s="7"/>
      <c r="E539" s="7"/>
      <c r="F539" s="7"/>
      <c r="G539" s="30"/>
      <c r="H539" s="7"/>
      <c r="I539" s="8"/>
    </row>
    <row x14ac:dyDescent="0.25" r="540" customHeight="1" ht="14.25">
      <c r="A540" s="30"/>
      <c r="B540" s="30"/>
      <c r="C540" s="30"/>
      <c r="D540" s="7"/>
      <c r="E540" s="7"/>
      <c r="F540" s="7"/>
      <c r="G540" s="30"/>
      <c r="H540" s="7"/>
      <c r="I540" s="8"/>
    </row>
    <row x14ac:dyDescent="0.25" r="541" customHeight="1" ht="14.25">
      <c r="A541" s="30"/>
      <c r="B541" s="30"/>
      <c r="C541" s="30"/>
      <c r="D541" s="7"/>
      <c r="E541" s="7"/>
      <c r="F541" s="7"/>
      <c r="G541" s="30"/>
      <c r="H541" s="7"/>
      <c r="I541" s="8"/>
    </row>
    <row x14ac:dyDescent="0.25" r="542" customHeight="1" ht="14.25">
      <c r="A542" s="30"/>
      <c r="B542" s="30"/>
      <c r="C542" s="30"/>
      <c r="D542" s="7"/>
      <c r="E542" s="7"/>
      <c r="F542" s="7"/>
      <c r="G542" s="30"/>
      <c r="H542" s="7"/>
      <c r="I542" s="8"/>
    </row>
    <row x14ac:dyDescent="0.25" r="543" customHeight="1" ht="14.25">
      <c r="A543" s="30"/>
      <c r="B543" s="30"/>
      <c r="C543" s="30"/>
      <c r="D543" s="7"/>
      <c r="E543" s="7"/>
      <c r="F543" s="7"/>
      <c r="G543" s="30"/>
      <c r="H543" s="7"/>
      <c r="I543" s="8"/>
    </row>
    <row x14ac:dyDescent="0.25" r="544" customHeight="1" ht="14.25">
      <c r="A544" s="30"/>
      <c r="B544" s="30"/>
      <c r="C544" s="30"/>
      <c r="D544" s="7"/>
      <c r="E544" s="7"/>
      <c r="F544" s="7"/>
      <c r="G544" s="30"/>
      <c r="H544" s="7"/>
      <c r="I544" s="8"/>
    </row>
    <row x14ac:dyDescent="0.25" r="545" customHeight="1" ht="14.25">
      <c r="A545" s="30"/>
      <c r="B545" s="30"/>
      <c r="C545" s="30"/>
      <c r="D545" s="7"/>
      <c r="E545" s="7"/>
      <c r="F545" s="7"/>
      <c r="G545" s="30"/>
      <c r="H545" s="7"/>
      <c r="I545" s="8"/>
    </row>
    <row x14ac:dyDescent="0.25" r="546" customHeight="1" ht="14.25">
      <c r="A546" s="30"/>
      <c r="B546" s="30"/>
      <c r="C546" s="30"/>
      <c r="D546" s="7"/>
      <c r="E546" s="7"/>
      <c r="F546" s="7"/>
      <c r="G546" s="30"/>
      <c r="H546" s="7"/>
      <c r="I546" s="8"/>
    </row>
    <row x14ac:dyDescent="0.25" r="547" customHeight="1" ht="14.25">
      <c r="A547" s="30"/>
      <c r="B547" s="30"/>
      <c r="C547" s="30"/>
      <c r="D547" s="7"/>
      <c r="E547" s="7"/>
      <c r="F547" s="7"/>
      <c r="G547" s="30"/>
      <c r="H547" s="7"/>
      <c r="I547" s="8"/>
    </row>
    <row x14ac:dyDescent="0.25" r="548" customHeight="1" ht="14.25">
      <c r="A548" s="30"/>
      <c r="B548" s="30"/>
      <c r="C548" s="30"/>
      <c r="D548" s="7"/>
      <c r="E548" s="7"/>
      <c r="F548" s="7"/>
      <c r="G548" s="30"/>
      <c r="H548" s="7"/>
      <c r="I548" s="8"/>
    </row>
    <row x14ac:dyDescent="0.25" r="549" customHeight="1" ht="14.25">
      <c r="A549" s="30"/>
      <c r="B549" s="30"/>
      <c r="C549" s="30"/>
      <c r="D549" s="7"/>
      <c r="E549" s="7"/>
      <c r="F549" s="7"/>
      <c r="G549" s="30"/>
      <c r="H549" s="7"/>
      <c r="I549" s="8"/>
    </row>
    <row x14ac:dyDescent="0.25" r="550" customHeight="1" ht="14.25">
      <c r="A550" s="30"/>
      <c r="B550" s="30"/>
      <c r="C550" s="30"/>
      <c r="D550" s="7"/>
      <c r="E550" s="7"/>
      <c r="F550" s="7"/>
      <c r="G550" s="30"/>
      <c r="H550" s="7"/>
      <c r="I550" s="8"/>
    </row>
    <row x14ac:dyDescent="0.25" r="551" customHeight="1" ht="14.25">
      <c r="A551" s="30"/>
      <c r="B551" s="30"/>
      <c r="C551" s="30"/>
      <c r="D551" s="7"/>
      <c r="E551" s="7"/>
      <c r="F551" s="7"/>
      <c r="G551" s="30"/>
      <c r="H551" s="7"/>
      <c r="I551" s="8"/>
    </row>
    <row x14ac:dyDescent="0.25" r="552" customHeight="1" ht="14.25">
      <c r="A552" s="30"/>
      <c r="B552" s="30"/>
      <c r="C552" s="30"/>
      <c r="D552" s="7"/>
      <c r="E552" s="7"/>
      <c r="F552" s="7"/>
      <c r="G552" s="30"/>
      <c r="H552" s="7"/>
      <c r="I552" s="8"/>
    </row>
    <row x14ac:dyDescent="0.25" r="553" customHeight="1" ht="14.25">
      <c r="A553" s="30"/>
      <c r="B553" s="30"/>
      <c r="C553" s="30"/>
      <c r="D553" s="7"/>
      <c r="E553" s="7"/>
      <c r="F553" s="7"/>
      <c r="G553" s="30"/>
      <c r="H553" s="7"/>
      <c r="I553" s="8"/>
    </row>
    <row x14ac:dyDescent="0.25" r="554" customHeight="1" ht="14.25">
      <c r="A554" s="30"/>
      <c r="B554" s="30"/>
      <c r="C554" s="30"/>
      <c r="D554" s="7"/>
      <c r="E554" s="7"/>
      <c r="F554" s="7"/>
      <c r="G554" s="30"/>
      <c r="H554" s="7"/>
      <c r="I554" s="8"/>
    </row>
    <row x14ac:dyDescent="0.25" r="555" customHeight="1" ht="14.25">
      <c r="A555" s="30"/>
      <c r="B555" s="30"/>
      <c r="C555" s="30"/>
      <c r="D555" s="7"/>
      <c r="E555" s="7"/>
      <c r="F555" s="7"/>
      <c r="G555" s="30"/>
      <c r="H555" s="7"/>
      <c r="I555" s="8"/>
    </row>
    <row x14ac:dyDescent="0.25" r="556" customHeight="1" ht="14.25">
      <c r="A556" s="30"/>
      <c r="B556" s="30"/>
      <c r="C556" s="30"/>
      <c r="D556" s="7"/>
      <c r="E556" s="7"/>
      <c r="F556" s="7"/>
      <c r="G556" s="30"/>
      <c r="H556" s="7"/>
      <c r="I556" s="8"/>
    </row>
    <row x14ac:dyDescent="0.25" r="557" customHeight="1" ht="14.25">
      <c r="A557" s="30"/>
      <c r="B557" s="30"/>
      <c r="C557" s="30"/>
      <c r="D557" s="7"/>
      <c r="E557" s="7"/>
      <c r="F557" s="7"/>
      <c r="G557" s="30"/>
      <c r="H557" s="7"/>
      <c r="I557" s="8"/>
    </row>
    <row x14ac:dyDescent="0.25" r="558" customHeight="1" ht="14.25">
      <c r="A558" s="30"/>
      <c r="B558" s="30"/>
      <c r="C558" s="30"/>
      <c r="D558" s="7"/>
      <c r="E558" s="7"/>
      <c r="F558" s="7"/>
      <c r="G558" s="30"/>
      <c r="H558" s="7"/>
      <c r="I558" s="8"/>
    </row>
    <row x14ac:dyDescent="0.25" r="559" customHeight="1" ht="14.25">
      <c r="A559" s="30"/>
      <c r="B559" s="30"/>
      <c r="C559" s="30"/>
      <c r="D559" s="7"/>
      <c r="E559" s="7"/>
      <c r="F559" s="7"/>
      <c r="G559" s="30"/>
      <c r="H559" s="7"/>
      <c r="I559" s="8"/>
    </row>
    <row x14ac:dyDescent="0.25" r="560" customHeight="1" ht="14.25">
      <c r="A560" s="30"/>
      <c r="B560" s="30"/>
      <c r="C560" s="30"/>
      <c r="D560" s="7"/>
      <c r="E560" s="7"/>
      <c r="F560" s="7"/>
      <c r="G560" s="30"/>
      <c r="H560" s="7"/>
      <c r="I560" s="8"/>
    </row>
    <row x14ac:dyDescent="0.25" r="561" customHeight="1" ht="14.25">
      <c r="A561" s="30"/>
      <c r="B561" s="30"/>
      <c r="C561" s="30"/>
      <c r="D561" s="7"/>
      <c r="E561" s="7"/>
      <c r="F561" s="7"/>
      <c r="G561" s="30"/>
      <c r="H561" s="7"/>
      <c r="I561" s="8"/>
    </row>
    <row x14ac:dyDescent="0.25" r="562" customHeight="1" ht="14.25">
      <c r="A562" s="30"/>
      <c r="B562" s="30"/>
      <c r="C562" s="30"/>
      <c r="D562" s="7"/>
      <c r="E562" s="7"/>
      <c r="F562" s="7"/>
      <c r="G562" s="30"/>
      <c r="H562" s="7"/>
      <c r="I562" s="8"/>
    </row>
    <row x14ac:dyDescent="0.25" r="563" customHeight="1" ht="14.25">
      <c r="A563" s="30"/>
      <c r="B563" s="30"/>
      <c r="C563" s="30"/>
      <c r="D563" s="7"/>
      <c r="E563" s="7"/>
      <c r="F563" s="7"/>
      <c r="G563" s="30"/>
      <c r="H563" s="7"/>
      <c r="I563" s="8"/>
    </row>
    <row x14ac:dyDescent="0.25" r="564" customHeight="1" ht="14.25">
      <c r="A564" s="30"/>
      <c r="B564" s="30"/>
      <c r="C564" s="30"/>
      <c r="D564" s="7"/>
      <c r="E564" s="7"/>
      <c r="F564" s="7"/>
      <c r="G564" s="30"/>
      <c r="H564" s="7"/>
      <c r="I564" s="8"/>
    </row>
    <row x14ac:dyDescent="0.25" r="565" customHeight="1" ht="14.25">
      <c r="A565" s="30"/>
      <c r="B565" s="30"/>
      <c r="C565" s="30"/>
      <c r="D565" s="7"/>
      <c r="E565" s="7"/>
      <c r="F565" s="7"/>
      <c r="G565" s="30"/>
      <c r="H565" s="7"/>
      <c r="I565" s="8"/>
    </row>
    <row x14ac:dyDescent="0.25" r="566" customHeight="1" ht="14.25">
      <c r="A566" s="30"/>
      <c r="B566" s="30"/>
      <c r="C566" s="30"/>
      <c r="D566" s="7"/>
      <c r="E566" s="7"/>
      <c r="F566" s="7"/>
      <c r="G566" s="30"/>
      <c r="H566" s="7"/>
      <c r="I566" s="8"/>
    </row>
    <row x14ac:dyDescent="0.25" r="567" customHeight="1" ht="14.25">
      <c r="A567" s="30"/>
      <c r="B567" s="30"/>
      <c r="C567" s="30"/>
      <c r="D567" s="7"/>
      <c r="E567" s="7"/>
      <c r="F567" s="7"/>
      <c r="G567" s="30"/>
      <c r="H567" s="7"/>
      <c r="I567" s="8"/>
    </row>
    <row x14ac:dyDescent="0.25" r="568" customHeight="1" ht="14.25">
      <c r="A568" s="30"/>
      <c r="B568" s="30"/>
      <c r="C568" s="30"/>
      <c r="D568" s="7"/>
      <c r="E568" s="7"/>
      <c r="F568" s="7"/>
      <c r="G568" s="30"/>
      <c r="H568" s="7"/>
      <c r="I568" s="8"/>
    </row>
    <row x14ac:dyDescent="0.25" r="569" customHeight="1" ht="14.25">
      <c r="A569" s="30"/>
      <c r="B569" s="30"/>
      <c r="C569" s="30"/>
      <c r="D569" s="7"/>
      <c r="E569" s="7"/>
      <c r="F569" s="7"/>
      <c r="G569" s="30"/>
      <c r="H569" s="7"/>
      <c r="I569" s="8"/>
    </row>
    <row x14ac:dyDescent="0.25" r="570" customHeight="1" ht="14.25">
      <c r="A570" s="30"/>
      <c r="B570" s="30"/>
      <c r="C570" s="30"/>
      <c r="D570" s="7"/>
      <c r="E570" s="7"/>
      <c r="F570" s="7"/>
      <c r="G570" s="30"/>
      <c r="H570" s="7"/>
      <c r="I570" s="8"/>
    </row>
    <row x14ac:dyDescent="0.25" r="571" customHeight="1" ht="14.25">
      <c r="A571" s="30"/>
      <c r="B571" s="30"/>
      <c r="C571" s="30"/>
      <c r="D571" s="7"/>
      <c r="E571" s="7"/>
      <c r="F571" s="7"/>
      <c r="G571" s="30"/>
      <c r="H571" s="7"/>
      <c r="I571" s="8"/>
    </row>
    <row x14ac:dyDescent="0.25" r="572" customHeight="1" ht="14.25">
      <c r="A572" s="30"/>
      <c r="B572" s="30"/>
      <c r="C572" s="30"/>
      <c r="D572" s="7"/>
      <c r="E572" s="7"/>
      <c r="F572" s="7"/>
      <c r="G572" s="30"/>
      <c r="H572" s="7"/>
      <c r="I572" s="8"/>
    </row>
    <row x14ac:dyDescent="0.25" r="573" customHeight="1" ht="14.25">
      <c r="A573" s="30"/>
      <c r="B573" s="30"/>
      <c r="C573" s="30"/>
      <c r="D573" s="7"/>
      <c r="E573" s="7"/>
      <c r="F573" s="7"/>
      <c r="G573" s="30"/>
      <c r="H573" s="7"/>
      <c r="I573" s="8"/>
    </row>
    <row x14ac:dyDescent="0.25" r="574" customHeight="1" ht="14.25">
      <c r="A574" s="30"/>
      <c r="B574" s="30"/>
      <c r="C574" s="30"/>
      <c r="D574" s="7"/>
      <c r="E574" s="7"/>
      <c r="F574" s="7"/>
      <c r="G574" s="30"/>
      <c r="H574" s="7"/>
      <c r="I574" s="8"/>
    </row>
    <row x14ac:dyDescent="0.25" r="575" customHeight="1" ht="14.25">
      <c r="A575" s="30"/>
      <c r="B575" s="30"/>
      <c r="C575" s="30"/>
      <c r="D575" s="7"/>
      <c r="E575" s="7"/>
      <c r="F575" s="7"/>
      <c r="G575" s="30"/>
      <c r="H575" s="7"/>
      <c r="I575" s="8"/>
    </row>
    <row x14ac:dyDescent="0.25" r="576" customHeight="1" ht="14.25">
      <c r="A576" s="30"/>
      <c r="B576" s="30"/>
      <c r="C576" s="30"/>
      <c r="D576" s="7"/>
      <c r="E576" s="7"/>
      <c r="F576" s="7"/>
      <c r="G576" s="30"/>
      <c r="H576" s="7"/>
      <c r="I576" s="8"/>
    </row>
    <row x14ac:dyDescent="0.25" r="577" customHeight="1" ht="14.25">
      <c r="A577" s="30"/>
      <c r="B577" s="30"/>
      <c r="C577" s="30"/>
      <c r="D577" s="7"/>
      <c r="E577" s="7"/>
      <c r="F577" s="7"/>
      <c r="G577" s="30"/>
      <c r="H577" s="7"/>
      <c r="I577" s="8"/>
    </row>
    <row x14ac:dyDescent="0.25" r="578" customHeight="1" ht="14.25">
      <c r="A578" s="30"/>
      <c r="B578" s="30"/>
      <c r="C578" s="30"/>
      <c r="D578" s="7"/>
      <c r="E578" s="7"/>
      <c r="F578" s="7"/>
      <c r="G578" s="30"/>
      <c r="H578" s="7"/>
      <c r="I578" s="8"/>
    </row>
    <row x14ac:dyDescent="0.25" r="579" customHeight="1" ht="14.25">
      <c r="A579" s="30"/>
      <c r="B579" s="30"/>
      <c r="C579" s="30"/>
      <c r="D579" s="7"/>
      <c r="E579" s="7"/>
      <c r="F579" s="7"/>
      <c r="G579" s="30"/>
      <c r="H579" s="7"/>
      <c r="I579" s="8"/>
    </row>
    <row x14ac:dyDescent="0.25" r="580" customHeight="1" ht="14.25">
      <c r="A580" s="30"/>
      <c r="B580" s="30"/>
      <c r="C580" s="30"/>
      <c r="D580" s="7"/>
      <c r="E580" s="7"/>
      <c r="F580" s="7"/>
      <c r="G580" s="30"/>
      <c r="H580" s="7"/>
      <c r="I580" s="8"/>
    </row>
    <row x14ac:dyDescent="0.25" r="581" customHeight="1" ht="14.25">
      <c r="A581" s="30"/>
      <c r="B581" s="30"/>
      <c r="C581" s="30"/>
      <c r="D581" s="7"/>
      <c r="E581" s="7"/>
      <c r="F581" s="7"/>
      <c r="G581" s="30"/>
      <c r="H581" s="7"/>
      <c r="I581" s="8"/>
    </row>
    <row x14ac:dyDescent="0.25" r="582" customHeight="1" ht="14.25">
      <c r="A582" s="30"/>
      <c r="B582" s="30"/>
      <c r="C582" s="30"/>
      <c r="D582" s="7"/>
      <c r="E582" s="7"/>
      <c r="F582" s="7"/>
      <c r="G582" s="30"/>
      <c r="H582" s="7"/>
      <c r="I582" s="8"/>
    </row>
    <row x14ac:dyDescent="0.25" r="583" customHeight="1" ht="14.25">
      <c r="A583" s="30"/>
      <c r="B583" s="30"/>
      <c r="C583" s="30"/>
      <c r="D583" s="7"/>
      <c r="E583" s="7"/>
      <c r="F583" s="7"/>
      <c r="G583" s="30"/>
      <c r="H583" s="7"/>
      <c r="I583" s="8"/>
    </row>
    <row x14ac:dyDescent="0.25" r="584" customHeight="1" ht="14.25">
      <c r="A584" s="30"/>
      <c r="B584" s="30"/>
      <c r="C584" s="30"/>
      <c r="D584" s="7"/>
      <c r="E584" s="7"/>
      <c r="F584" s="7"/>
      <c r="G584" s="30"/>
      <c r="H584" s="7"/>
      <c r="I584" s="8"/>
    </row>
    <row x14ac:dyDescent="0.25" r="585" customHeight="1" ht="14.25">
      <c r="A585" s="30"/>
      <c r="B585" s="30"/>
      <c r="C585" s="30"/>
      <c r="D585" s="7"/>
      <c r="E585" s="7"/>
      <c r="F585" s="7"/>
      <c r="G585" s="30"/>
      <c r="H585" s="7"/>
      <c r="I585" s="8"/>
    </row>
    <row x14ac:dyDescent="0.25" r="586" customHeight="1" ht="14.25">
      <c r="A586" s="30"/>
      <c r="B586" s="30"/>
      <c r="C586" s="30"/>
      <c r="D586" s="7"/>
      <c r="E586" s="7"/>
      <c r="F586" s="7"/>
      <c r="G586" s="30"/>
      <c r="H586" s="7"/>
      <c r="I586" s="8"/>
    </row>
    <row x14ac:dyDescent="0.25" r="587" customHeight="1" ht="14.25">
      <c r="A587" s="30"/>
      <c r="B587" s="30"/>
      <c r="C587" s="30"/>
      <c r="D587" s="7"/>
      <c r="E587" s="7"/>
      <c r="F587" s="7"/>
      <c r="G587" s="30"/>
      <c r="H587" s="7"/>
      <c r="I587" s="8"/>
    </row>
    <row x14ac:dyDescent="0.25" r="588" customHeight="1" ht="14.25">
      <c r="A588" s="30"/>
      <c r="B588" s="30"/>
      <c r="C588" s="30"/>
      <c r="D588" s="7"/>
      <c r="E588" s="7"/>
      <c r="F588" s="7"/>
      <c r="G588" s="30"/>
      <c r="H588" s="7"/>
      <c r="I588" s="8"/>
    </row>
    <row x14ac:dyDescent="0.25" r="589" customHeight="1" ht="14.25">
      <c r="A589" s="30"/>
      <c r="B589" s="30"/>
      <c r="C589" s="30"/>
      <c r="D589" s="7"/>
      <c r="E589" s="7"/>
      <c r="F589" s="7"/>
      <c r="G589" s="30"/>
      <c r="H589" s="7"/>
      <c r="I589" s="8"/>
    </row>
    <row x14ac:dyDescent="0.25" r="590" customHeight="1" ht="14.25">
      <c r="A590" s="30"/>
      <c r="B590" s="30"/>
      <c r="C590" s="30"/>
      <c r="D590" s="7"/>
      <c r="E590" s="7"/>
      <c r="F590" s="7"/>
      <c r="G590" s="30"/>
      <c r="H590" s="7"/>
      <c r="I590" s="8"/>
    </row>
    <row x14ac:dyDescent="0.25" r="591" customHeight="1" ht="14.25">
      <c r="A591" s="30"/>
      <c r="B591" s="30"/>
      <c r="C591" s="30"/>
      <c r="D591" s="7"/>
      <c r="E591" s="7"/>
      <c r="F591" s="7"/>
      <c r="G591" s="30"/>
      <c r="H591" s="7"/>
      <c r="I591" s="8"/>
    </row>
    <row x14ac:dyDescent="0.25" r="592" customHeight="1" ht="14.25">
      <c r="A592" s="30"/>
      <c r="B592" s="30"/>
      <c r="C592" s="30"/>
      <c r="D592" s="7"/>
      <c r="E592" s="7"/>
      <c r="F592" s="7"/>
      <c r="G592" s="30"/>
      <c r="H592" s="7"/>
      <c r="I592" s="8"/>
    </row>
    <row x14ac:dyDescent="0.25" r="593" customHeight="1" ht="14.25">
      <c r="A593" s="30"/>
      <c r="B593" s="30"/>
      <c r="C593" s="30"/>
      <c r="D593" s="7"/>
      <c r="E593" s="7"/>
      <c r="F593" s="7"/>
      <c r="G593" s="30"/>
      <c r="H593" s="7"/>
      <c r="I593" s="8"/>
    </row>
    <row x14ac:dyDescent="0.25" r="594" customHeight="1" ht="14.25">
      <c r="A594" s="30"/>
      <c r="B594" s="30"/>
      <c r="C594" s="30"/>
      <c r="D594" s="7"/>
      <c r="E594" s="7"/>
      <c r="F594" s="7"/>
      <c r="G594" s="30"/>
      <c r="H594" s="7"/>
      <c r="I594" s="8"/>
    </row>
    <row x14ac:dyDescent="0.25" r="595" customHeight="1" ht="14.25">
      <c r="A595" s="30"/>
      <c r="B595" s="30"/>
      <c r="C595" s="30"/>
      <c r="D595" s="7"/>
      <c r="E595" s="7"/>
      <c r="F595" s="7"/>
      <c r="G595" s="30"/>
      <c r="H595" s="7"/>
      <c r="I595" s="8"/>
    </row>
    <row x14ac:dyDescent="0.25" r="596" customHeight="1" ht="14.25">
      <c r="A596" s="30"/>
      <c r="B596" s="30"/>
      <c r="C596" s="30"/>
      <c r="D596" s="7"/>
      <c r="E596" s="7"/>
      <c r="F596" s="7"/>
      <c r="G596" s="30"/>
      <c r="H596" s="7"/>
      <c r="I596" s="8"/>
    </row>
    <row x14ac:dyDescent="0.25" r="597" customHeight="1" ht="14.25">
      <c r="A597" s="30"/>
      <c r="B597" s="30"/>
      <c r="C597" s="30"/>
      <c r="D597" s="7"/>
      <c r="E597" s="7"/>
      <c r="F597" s="7"/>
      <c r="G597" s="30"/>
      <c r="H597" s="7"/>
      <c r="I597" s="8"/>
    </row>
    <row x14ac:dyDescent="0.25" r="598" customHeight="1" ht="14.25">
      <c r="A598" s="30"/>
      <c r="B598" s="30"/>
      <c r="C598" s="30"/>
      <c r="D598" s="7"/>
      <c r="E598" s="7"/>
      <c r="F598" s="7"/>
      <c r="G598" s="30"/>
      <c r="H598" s="7"/>
      <c r="I598" s="8"/>
    </row>
    <row x14ac:dyDescent="0.25" r="599" customHeight="1" ht="14.25">
      <c r="A599" s="30"/>
      <c r="B599" s="30"/>
      <c r="C599" s="30"/>
      <c r="D599" s="7"/>
      <c r="E599" s="7"/>
      <c r="F599" s="7"/>
      <c r="G599" s="30"/>
      <c r="H599" s="7"/>
      <c r="I599" s="8"/>
    </row>
    <row x14ac:dyDescent="0.25" r="600" customHeight="1" ht="14.25">
      <c r="A600" s="30"/>
      <c r="B600" s="30"/>
      <c r="C600" s="30"/>
      <c r="D600" s="7"/>
      <c r="E600" s="7"/>
      <c r="F600" s="7"/>
      <c r="G600" s="30"/>
      <c r="H600" s="7"/>
      <c r="I600" s="8"/>
    </row>
    <row x14ac:dyDescent="0.25" r="601" customHeight="1" ht="14.25">
      <c r="A601" s="30"/>
      <c r="B601" s="30"/>
      <c r="C601" s="30"/>
      <c r="D601" s="7"/>
      <c r="E601" s="7"/>
      <c r="F601" s="7"/>
      <c r="G601" s="30"/>
      <c r="H601" s="7"/>
      <c r="I601" s="8"/>
    </row>
    <row x14ac:dyDescent="0.25" r="602" customHeight="1" ht="14.25">
      <c r="A602" s="30"/>
      <c r="B602" s="30"/>
      <c r="C602" s="30"/>
      <c r="D602" s="7"/>
      <c r="E602" s="7"/>
      <c r="F602" s="7"/>
      <c r="G602" s="30"/>
      <c r="H602" s="7"/>
      <c r="I602" s="8"/>
    </row>
    <row x14ac:dyDescent="0.25" r="603" customHeight="1" ht="14.25">
      <c r="A603" s="30"/>
      <c r="B603" s="30"/>
      <c r="C603" s="30"/>
      <c r="D603" s="7"/>
      <c r="E603" s="7"/>
      <c r="F603" s="7"/>
      <c r="G603" s="30"/>
      <c r="H603" s="7"/>
      <c r="I603" s="8"/>
    </row>
    <row x14ac:dyDescent="0.25" r="604" customHeight="1" ht="14.25">
      <c r="A604" s="30"/>
      <c r="B604" s="30"/>
      <c r="C604" s="30"/>
      <c r="D604" s="7"/>
      <c r="E604" s="7"/>
      <c r="F604" s="7"/>
      <c r="G604" s="30"/>
      <c r="H604" s="7"/>
      <c r="I604" s="8"/>
    </row>
    <row x14ac:dyDescent="0.25" r="605" customHeight="1" ht="14.25">
      <c r="A605" s="30"/>
      <c r="B605" s="30"/>
      <c r="C605" s="30"/>
      <c r="D605" s="7"/>
      <c r="E605" s="7"/>
      <c r="F605" s="7"/>
      <c r="G605" s="30"/>
      <c r="H605" s="7"/>
      <c r="I605" s="8"/>
    </row>
    <row x14ac:dyDescent="0.25" r="606" customHeight="1" ht="14.25">
      <c r="A606" s="30"/>
      <c r="B606" s="30"/>
      <c r="C606" s="30"/>
      <c r="D606" s="7"/>
      <c r="E606" s="7"/>
      <c r="F606" s="7"/>
      <c r="G606" s="30"/>
      <c r="H606" s="7"/>
      <c r="I606" s="8"/>
    </row>
    <row x14ac:dyDescent="0.25" r="607" customHeight="1" ht="14.25">
      <c r="A607" s="30"/>
      <c r="B607" s="30"/>
      <c r="C607" s="30"/>
      <c r="D607" s="7"/>
      <c r="E607" s="7"/>
      <c r="F607" s="7"/>
      <c r="G607" s="30"/>
      <c r="H607" s="7"/>
      <c r="I607" s="8"/>
    </row>
    <row x14ac:dyDescent="0.25" r="608" customHeight="1" ht="14.25">
      <c r="A608" s="30"/>
      <c r="B608" s="30"/>
      <c r="C608" s="30"/>
      <c r="D608" s="7"/>
      <c r="E608" s="7"/>
      <c r="F608" s="7"/>
      <c r="G608" s="30"/>
      <c r="H608" s="7"/>
      <c r="I608" s="8"/>
    </row>
    <row x14ac:dyDescent="0.25" r="609" customHeight="1" ht="14.25">
      <c r="A609" s="30"/>
      <c r="B609" s="30"/>
      <c r="C609" s="30"/>
      <c r="D609" s="7"/>
      <c r="E609" s="7"/>
      <c r="F609" s="7"/>
      <c r="G609" s="30"/>
      <c r="H609" s="7"/>
      <c r="I609" s="8"/>
    </row>
    <row x14ac:dyDescent="0.25" r="610" customHeight="1" ht="14.25">
      <c r="A610" s="30"/>
      <c r="B610" s="30"/>
      <c r="C610" s="30"/>
      <c r="D610" s="7"/>
      <c r="E610" s="7"/>
      <c r="F610" s="7"/>
      <c r="G610" s="30"/>
      <c r="H610" s="7"/>
      <c r="I610" s="8"/>
    </row>
    <row x14ac:dyDescent="0.25" r="611" customHeight="1" ht="14.25">
      <c r="A611" s="30"/>
      <c r="B611" s="30"/>
      <c r="C611" s="30"/>
      <c r="D611" s="7"/>
      <c r="E611" s="7"/>
      <c r="F611" s="7"/>
      <c r="G611" s="30"/>
      <c r="H611" s="7"/>
      <c r="I611" s="8"/>
    </row>
    <row x14ac:dyDescent="0.25" r="612" customHeight="1" ht="14.25">
      <c r="A612" s="30"/>
      <c r="B612" s="30"/>
      <c r="C612" s="30"/>
      <c r="D612" s="7"/>
      <c r="E612" s="7"/>
      <c r="F612" s="7"/>
      <c r="G612" s="30"/>
      <c r="H612" s="7"/>
      <c r="I612" s="8"/>
    </row>
    <row x14ac:dyDescent="0.25" r="613" customHeight="1" ht="14.25">
      <c r="A613" s="30"/>
      <c r="B613" s="30"/>
      <c r="C613" s="30"/>
      <c r="D613" s="7"/>
      <c r="E613" s="7"/>
      <c r="F613" s="7"/>
      <c r="G613" s="30"/>
      <c r="H613" s="7"/>
      <c r="I613" s="8"/>
    </row>
    <row x14ac:dyDescent="0.25" r="614" customHeight="1" ht="14.25">
      <c r="A614" s="30"/>
      <c r="B614" s="30"/>
      <c r="C614" s="30"/>
      <c r="D614" s="7"/>
      <c r="E614" s="7"/>
      <c r="F614" s="7"/>
      <c r="G614" s="30"/>
      <c r="H614" s="7"/>
      <c r="I614" s="8"/>
    </row>
    <row x14ac:dyDescent="0.25" r="615" customHeight="1" ht="14.25">
      <c r="A615" s="30"/>
      <c r="B615" s="30"/>
      <c r="C615" s="30"/>
      <c r="D615" s="7"/>
      <c r="E615" s="7"/>
      <c r="F615" s="7"/>
      <c r="G615" s="30"/>
      <c r="H615" s="7"/>
      <c r="I615" s="8"/>
    </row>
    <row x14ac:dyDescent="0.25" r="616" customHeight="1" ht="14.25">
      <c r="A616" s="30"/>
      <c r="B616" s="30"/>
      <c r="C616" s="30"/>
      <c r="D616" s="7"/>
      <c r="E616" s="7"/>
      <c r="F616" s="7"/>
      <c r="G616" s="30"/>
      <c r="H616" s="7"/>
      <c r="I616" s="8"/>
    </row>
    <row x14ac:dyDescent="0.25" r="617" customHeight="1" ht="14.25">
      <c r="A617" s="30"/>
      <c r="B617" s="30"/>
      <c r="C617" s="30"/>
      <c r="D617" s="7"/>
      <c r="E617" s="7"/>
      <c r="F617" s="7"/>
      <c r="G617" s="30"/>
      <c r="H617" s="7"/>
      <c r="I617" s="8"/>
    </row>
    <row x14ac:dyDescent="0.25" r="618" customHeight="1" ht="14.25">
      <c r="A618" s="30"/>
      <c r="B618" s="30"/>
      <c r="C618" s="30"/>
      <c r="D618" s="7"/>
      <c r="E618" s="7"/>
      <c r="F618" s="7"/>
      <c r="G618" s="30"/>
      <c r="H618" s="7"/>
      <c r="I618" s="8"/>
    </row>
    <row x14ac:dyDescent="0.25" r="619" customHeight="1" ht="14.25">
      <c r="A619" s="30"/>
      <c r="B619" s="30"/>
      <c r="C619" s="30"/>
      <c r="D619" s="7"/>
      <c r="E619" s="7"/>
      <c r="F619" s="7"/>
      <c r="G619" s="30"/>
      <c r="H619" s="7"/>
      <c r="I619" s="8"/>
    </row>
    <row x14ac:dyDescent="0.25" r="620" customHeight="1" ht="14.25">
      <c r="A620" s="30"/>
      <c r="B620" s="30"/>
      <c r="C620" s="30"/>
      <c r="D620" s="7"/>
      <c r="E620" s="7"/>
      <c r="F620" s="7"/>
      <c r="G620" s="30"/>
      <c r="H620" s="7"/>
      <c r="I620" s="8"/>
    </row>
    <row x14ac:dyDescent="0.25" r="621" customHeight="1" ht="14.25">
      <c r="A621" s="30"/>
      <c r="B621" s="30"/>
      <c r="C621" s="30"/>
      <c r="D621" s="7"/>
      <c r="E621" s="7"/>
      <c r="F621" s="7"/>
      <c r="G621" s="30"/>
      <c r="H621" s="7"/>
      <c r="I621" s="8"/>
    </row>
    <row x14ac:dyDescent="0.25" r="622" customHeight="1" ht="14.25">
      <c r="A622" s="30"/>
      <c r="B622" s="30"/>
      <c r="C622" s="30"/>
      <c r="D622" s="7"/>
      <c r="E622" s="7"/>
      <c r="F622" s="7"/>
      <c r="G622" s="30"/>
      <c r="H622" s="7"/>
      <c r="I622" s="8"/>
    </row>
    <row x14ac:dyDescent="0.25" r="623" customHeight="1" ht="14.25">
      <c r="A623" s="30"/>
      <c r="B623" s="30"/>
      <c r="C623" s="30"/>
      <c r="D623" s="7"/>
      <c r="E623" s="7"/>
      <c r="F623" s="7"/>
      <c r="G623" s="30"/>
      <c r="H623" s="7"/>
      <c r="I623" s="8"/>
    </row>
    <row x14ac:dyDescent="0.25" r="624" customHeight="1" ht="14.25">
      <c r="A624" s="30"/>
      <c r="B624" s="30"/>
      <c r="C624" s="30"/>
      <c r="D624" s="7"/>
      <c r="E624" s="7"/>
      <c r="F624" s="7"/>
      <c r="G624" s="30"/>
      <c r="H624" s="7"/>
      <c r="I624" s="8"/>
    </row>
    <row x14ac:dyDescent="0.25" r="625" customHeight="1" ht="14.25">
      <c r="A625" s="30"/>
      <c r="B625" s="30"/>
      <c r="C625" s="30"/>
      <c r="D625" s="7"/>
      <c r="E625" s="7"/>
      <c r="F625" s="7"/>
      <c r="G625" s="30"/>
      <c r="H625" s="7"/>
      <c r="I625" s="8"/>
    </row>
    <row x14ac:dyDescent="0.25" r="626" customHeight="1" ht="14.25">
      <c r="A626" s="30"/>
      <c r="B626" s="30"/>
      <c r="C626" s="30"/>
      <c r="D626" s="7"/>
      <c r="E626" s="7"/>
      <c r="F626" s="7"/>
      <c r="G626" s="30"/>
      <c r="H626" s="7"/>
      <c r="I626" s="8"/>
    </row>
    <row x14ac:dyDescent="0.25" r="627" customHeight="1" ht="14.25">
      <c r="A627" s="30"/>
      <c r="B627" s="30"/>
      <c r="C627" s="30"/>
      <c r="D627" s="7"/>
      <c r="E627" s="7"/>
      <c r="F627" s="7"/>
      <c r="G627" s="30"/>
      <c r="H627" s="7"/>
      <c r="I627" s="8"/>
    </row>
    <row x14ac:dyDescent="0.25" r="628" customHeight="1" ht="14.25">
      <c r="A628" s="30"/>
      <c r="B628" s="30"/>
      <c r="C628" s="30"/>
      <c r="D628" s="7"/>
      <c r="E628" s="7"/>
      <c r="F628" s="7"/>
      <c r="G628" s="30"/>
      <c r="H628" s="7"/>
      <c r="I628" s="8"/>
    </row>
    <row x14ac:dyDescent="0.25" r="629" customHeight="1" ht="14.25">
      <c r="A629" s="30"/>
      <c r="B629" s="30"/>
      <c r="C629" s="30"/>
      <c r="D629" s="7"/>
      <c r="E629" s="7"/>
      <c r="F629" s="7"/>
      <c r="G629" s="30"/>
      <c r="H629" s="7"/>
      <c r="I629" s="8"/>
    </row>
    <row x14ac:dyDescent="0.25" r="630" customHeight="1" ht="14.25">
      <c r="A630" s="30"/>
      <c r="B630" s="30"/>
      <c r="C630" s="30"/>
      <c r="D630" s="7"/>
      <c r="E630" s="7"/>
      <c r="F630" s="7"/>
      <c r="G630" s="30"/>
      <c r="H630" s="7"/>
      <c r="I630" s="8"/>
    </row>
    <row x14ac:dyDescent="0.25" r="631" customHeight="1" ht="14.25">
      <c r="A631" s="30"/>
      <c r="B631" s="30"/>
      <c r="C631" s="30"/>
      <c r="D631" s="7"/>
      <c r="E631" s="7"/>
      <c r="F631" s="7"/>
      <c r="G631" s="30"/>
      <c r="H631" s="7"/>
      <c r="I631" s="8"/>
    </row>
    <row x14ac:dyDescent="0.25" r="632" customHeight="1" ht="14.25">
      <c r="A632" s="30"/>
      <c r="B632" s="30"/>
      <c r="C632" s="30"/>
      <c r="D632" s="7"/>
      <c r="E632" s="7"/>
      <c r="F632" s="7"/>
      <c r="G632" s="30"/>
      <c r="H632" s="7"/>
      <c r="I632" s="8"/>
    </row>
    <row x14ac:dyDescent="0.25" r="633" customHeight="1" ht="14.25">
      <c r="A633" s="30"/>
      <c r="B633" s="30"/>
      <c r="C633" s="30"/>
      <c r="D633" s="7"/>
      <c r="E633" s="7"/>
      <c r="F633" s="7"/>
      <c r="G633" s="30"/>
      <c r="H633" s="7"/>
      <c r="I633" s="8"/>
    </row>
    <row x14ac:dyDescent="0.25" r="634" customHeight="1" ht="14.25">
      <c r="A634" s="30"/>
      <c r="B634" s="30"/>
      <c r="C634" s="30"/>
      <c r="D634" s="7"/>
      <c r="E634" s="7"/>
      <c r="F634" s="7"/>
      <c r="G634" s="30"/>
      <c r="H634" s="7"/>
      <c r="I634" s="8"/>
    </row>
    <row x14ac:dyDescent="0.25" r="635" customHeight="1" ht="14.25">
      <c r="A635" s="30"/>
      <c r="B635" s="30"/>
      <c r="C635" s="30"/>
      <c r="D635" s="7"/>
      <c r="E635" s="7"/>
      <c r="F635" s="7"/>
      <c r="G635" s="30"/>
      <c r="H635" s="7"/>
      <c r="I635" s="8"/>
    </row>
    <row x14ac:dyDescent="0.25" r="636" customHeight="1" ht="14.25">
      <c r="A636" s="30"/>
      <c r="B636" s="30"/>
      <c r="C636" s="30"/>
      <c r="D636" s="7"/>
      <c r="E636" s="7"/>
      <c r="F636" s="7"/>
      <c r="G636" s="30"/>
      <c r="H636" s="7"/>
      <c r="I636" s="8"/>
    </row>
    <row x14ac:dyDescent="0.25" r="637" customHeight="1" ht="14.25">
      <c r="A637" s="30"/>
      <c r="B637" s="30"/>
      <c r="C637" s="30"/>
      <c r="D637" s="7"/>
      <c r="E637" s="7"/>
      <c r="F637" s="7"/>
      <c r="G637" s="30"/>
      <c r="H637" s="7"/>
      <c r="I637" s="8"/>
    </row>
    <row x14ac:dyDescent="0.25" r="638" customHeight="1" ht="14.25">
      <c r="A638" s="30"/>
      <c r="B638" s="30"/>
      <c r="C638" s="30"/>
      <c r="D638" s="7"/>
      <c r="E638" s="7"/>
      <c r="F638" s="7"/>
      <c r="G638" s="30"/>
      <c r="H638" s="7"/>
      <c r="I638" s="8"/>
    </row>
    <row x14ac:dyDescent="0.25" r="639" customHeight="1" ht="14.25">
      <c r="A639" s="30"/>
      <c r="B639" s="30"/>
      <c r="C639" s="30"/>
      <c r="D639" s="7"/>
      <c r="E639" s="7"/>
      <c r="F639" s="7"/>
      <c r="G639" s="30"/>
      <c r="H639" s="7"/>
      <c r="I639" s="8"/>
    </row>
    <row x14ac:dyDescent="0.25" r="640" customHeight="1" ht="14.25">
      <c r="A640" s="30"/>
      <c r="B640" s="30"/>
      <c r="C640" s="30"/>
      <c r="D640" s="7"/>
      <c r="E640" s="7"/>
      <c r="F640" s="7"/>
      <c r="G640" s="30"/>
      <c r="H640" s="7"/>
      <c r="I640" s="8"/>
    </row>
    <row x14ac:dyDescent="0.25" r="641" customHeight="1" ht="14.25">
      <c r="A641" s="30"/>
      <c r="B641" s="30"/>
      <c r="C641" s="30"/>
      <c r="D641" s="7"/>
      <c r="E641" s="7"/>
      <c r="F641" s="7"/>
      <c r="G641" s="30"/>
      <c r="H641" s="7"/>
      <c r="I641" s="8"/>
    </row>
    <row x14ac:dyDescent="0.25" r="642" customHeight="1" ht="14.25">
      <c r="A642" s="30"/>
      <c r="B642" s="30"/>
      <c r="C642" s="30"/>
      <c r="D642" s="7"/>
      <c r="E642" s="7"/>
      <c r="F642" s="7"/>
      <c r="G642" s="30"/>
      <c r="H642" s="7"/>
      <c r="I642" s="8"/>
    </row>
    <row x14ac:dyDescent="0.25" r="643" customHeight="1" ht="14.25">
      <c r="A643" s="30"/>
      <c r="B643" s="30"/>
      <c r="C643" s="30"/>
      <c r="D643" s="7"/>
      <c r="E643" s="7"/>
      <c r="F643" s="7"/>
      <c r="G643" s="30"/>
      <c r="H643" s="7"/>
      <c r="I643" s="8"/>
    </row>
    <row x14ac:dyDescent="0.25" r="644" customHeight="1" ht="14.25">
      <c r="A644" s="30"/>
      <c r="B644" s="30"/>
      <c r="C644" s="30"/>
      <c r="D644" s="7"/>
      <c r="E644" s="7"/>
      <c r="F644" s="7"/>
      <c r="G644" s="30"/>
      <c r="H644" s="7"/>
      <c r="I644" s="8"/>
    </row>
    <row x14ac:dyDescent="0.25" r="645" customHeight="1" ht="14.25">
      <c r="A645" s="30"/>
      <c r="B645" s="30"/>
      <c r="C645" s="30"/>
      <c r="D645" s="7"/>
      <c r="E645" s="7"/>
      <c r="F645" s="7"/>
      <c r="G645" s="30"/>
      <c r="H645" s="7"/>
      <c r="I645" s="8"/>
    </row>
    <row x14ac:dyDescent="0.25" r="646" customHeight="1" ht="14.25">
      <c r="A646" s="30"/>
      <c r="B646" s="30"/>
      <c r="C646" s="30"/>
      <c r="D646" s="7"/>
      <c r="E646" s="7"/>
      <c r="F646" s="7"/>
      <c r="G646" s="30"/>
      <c r="H646" s="7"/>
      <c r="I646" s="8"/>
    </row>
    <row x14ac:dyDescent="0.25" r="647" customHeight="1" ht="14.25">
      <c r="A647" s="30"/>
      <c r="B647" s="30"/>
      <c r="C647" s="30"/>
      <c r="D647" s="7"/>
      <c r="E647" s="7"/>
      <c r="F647" s="7"/>
      <c r="G647" s="30"/>
      <c r="H647" s="7"/>
      <c r="I647" s="8"/>
    </row>
    <row x14ac:dyDescent="0.25" r="648" customHeight="1" ht="14.25">
      <c r="A648" s="30"/>
      <c r="B648" s="30"/>
      <c r="C648" s="30"/>
      <c r="D648" s="7"/>
      <c r="E648" s="7"/>
      <c r="F648" s="7"/>
      <c r="G648" s="30"/>
      <c r="H648" s="7"/>
      <c r="I648" s="8"/>
    </row>
    <row x14ac:dyDescent="0.25" r="649" customHeight="1" ht="14.25">
      <c r="A649" s="30"/>
      <c r="B649" s="30"/>
      <c r="C649" s="30"/>
      <c r="D649" s="7"/>
      <c r="E649" s="7"/>
      <c r="F649" s="7"/>
      <c r="G649" s="30"/>
      <c r="H649" s="7"/>
      <c r="I649" s="8"/>
    </row>
    <row x14ac:dyDescent="0.25" r="650" customHeight="1" ht="14.25">
      <c r="A650" s="30"/>
      <c r="B650" s="30"/>
      <c r="C650" s="30"/>
      <c r="D650" s="7"/>
      <c r="E650" s="7"/>
      <c r="F650" s="7"/>
      <c r="G650" s="30"/>
      <c r="H650" s="7"/>
      <c r="I650" s="8"/>
    </row>
    <row x14ac:dyDescent="0.25" r="651" customHeight="1" ht="14.25">
      <c r="A651" s="30"/>
      <c r="B651" s="30"/>
      <c r="C651" s="30"/>
      <c r="D651" s="7"/>
      <c r="E651" s="7"/>
      <c r="F651" s="7"/>
      <c r="G651" s="30"/>
      <c r="H651" s="7"/>
      <c r="I651" s="8"/>
    </row>
    <row x14ac:dyDescent="0.25" r="652" customHeight="1" ht="14.25">
      <c r="A652" s="30"/>
      <c r="B652" s="30"/>
      <c r="C652" s="30"/>
      <c r="D652" s="7"/>
      <c r="E652" s="7"/>
      <c r="F652" s="7"/>
      <c r="G652" s="30"/>
      <c r="H652" s="7"/>
      <c r="I652" s="8"/>
    </row>
    <row x14ac:dyDescent="0.25" r="653" customHeight="1" ht="14.25">
      <c r="A653" s="30"/>
      <c r="B653" s="30"/>
      <c r="C653" s="30"/>
      <c r="D653" s="7"/>
      <c r="E653" s="7"/>
      <c r="F653" s="7"/>
      <c r="G653" s="30"/>
      <c r="H653" s="7"/>
      <c r="I653" s="8"/>
    </row>
    <row x14ac:dyDescent="0.25" r="654" customHeight="1" ht="14.25">
      <c r="A654" s="30"/>
      <c r="B654" s="30"/>
      <c r="C654" s="30"/>
      <c r="D654" s="7"/>
      <c r="E654" s="7"/>
      <c r="F654" s="7"/>
      <c r="G654" s="30"/>
      <c r="H654" s="7"/>
      <c r="I654" s="8"/>
    </row>
    <row x14ac:dyDescent="0.25" r="655" customHeight="1" ht="14.25">
      <c r="A655" s="30"/>
      <c r="B655" s="30"/>
      <c r="C655" s="30"/>
      <c r="D655" s="7"/>
      <c r="E655" s="7"/>
      <c r="F655" s="7"/>
      <c r="G655" s="30"/>
      <c r="H655" s="7"/>
      <c r="I655" s="8"/>
    </row>
    <row x14ac:dyDescent="0.25" r="656" customHeight="1" ht="14.25">
      <c r="A656" s="30"/>
      <c r="B656" s="30"/>
      <c r="C656" s="30"/>
      <c r="D656" s="7"/>
      <c r="E656" s="7"/>
      <c r="F656" s="7"/>
      <c r="G656" s="30"/>
      <c r="H656" s="7"/>
      <c r="I656" s="8"/>
    </row>
    <row x14ac:dyDescent="0.25" r="657" customHeight="1" ht="14.25">
      <c r="A657" s="30"/>
      <c r="B657" s="30"/>
      <c r="C657" s="30"/>
      <c r="D657" s="7"/>
      <c r="E657" s="7"/>
      <c r="F657" s="7"/>
      <c r="G657" s="30"/>
      <c r="H657" s="7"/>
      <c r="I657" s="8"/>
    </row>
    <row x14ac:dyDescent="0.25" r="658" customHeight="1" ht="14.25">
      <c r="A658" s="30"/>
      <c r="B658" s="30"/>
      <c r="C658" s="30"/>
      <c r="D658" s="7"/>
      <c r="E658" s="7"/>
      <c r="F658" s="7"/>
      <c r="G658" s="30"/>
      <c r="H658" s="7"/>
      <c r="I658" s="8"/>
    </row>
    <row x14ac:dyDescent="0.25" r="659" customHeight="1" ht="14.25">
      <c r="A659" s="30"/>
      <c r="B659" s="30"/>
      <c r="C659" s="30"/>
      <c r="D659" s="7"/>
      <c r="E659" s="7"/>
      <c r="F659" s="7"/>
      <c r="G659" s="30"/>
      <c r="H659" s="7"/>
      <c r="I659" s="8"/>
    </row>
    <row x14ac:dyDescent="0.25" r="660" customHeight="1" ht="14.25">
      <c r="A660" s="30"/>
      <c r="B660" s="30"/>
      <c r="C660" s="30"/>
      <c r="D660" s="7"/>
      <c r="E660" s="7"/>
      <c r="F660" s="7"/>
      <c r="G660" s="30"/>
      <c r="H660" s="7"/>
      <c r="I660" s="8"/>
    </row>
    <row x14ac:dyDescent="0.25" r="661" customHeight="1" ht="14.25">
      <c r="A661" s="30"/>
      <c r="B661" s="30"/>
      <c r="C661" s="30"/>
      <c r="D661" s="7"/>
      <c r="E661" s="7"/>
      <c r="F661" s="7"/>
      <c r="G661" s="30"/>
      <c r="H661" s="7"/>
      <c r="I661" s="8"/>
    </row>
    <row x14ac:dyDescent="0.25" r="662" customHeight="1" ht="14.25">
      <c r="A662" s="30"/>
      <c r="B662" s="30"/>
      <c r="C662" s="30"/>
      <c r="D662" s="7"/>
      <c r="E662" s="7"/>
      <c r="F662" s="7"/>
      <c r="G662" s="30"/>
      <c r="H662" s="7"/>
      <c r="I662" s="8"/>
    </row>
    <row x14ac:dyDescent="0.25" r="663" customHeight="1" ht="14.25">
      <c r="A663" s="30"/>
      <c r="B663" s="30"/>
      <c r="C663" s="30"/>
      <c r="D663" s="7"/>
      <c r="E663" s="7"/>
      <c r="F663" s="7"/>
      <c r="G663" s="30"/>
      <c r="H663" s="7"/>
      <c r="I663" s="8"/>
    </row>
    <row x14ac:dyDescent="0.25" r="664" customHeight="1" ht="14.25">
      <c r="A664" s="30"/>
      <c r="B664" s="30"/>
      <c r="C664" s="30"/>
      <c r="D664" s="7"/>
      <c r="E664" s="7"/>
      <c r="F664" s="7"/>
      <c r="G664" s="30"/>
      <c r="H664" s="7"/>
      <c r="I664" s="8"/>
    </row>
    <row x14ac:dyDescent="0.25" r="665" customHeight="1" ht="14.25">
      <c r="A665" s="30"/>
      <c r="B665" s="30"/>
      <c r="C665" s="30"/>
      <c r="D665" s="7"/>
      <c r="E665" s="7"/>
      <c r="F665" s="7"/>
      <c r="G665" s="30"/>
      <c r="H665" s="7"/>
      <c r="I665" s="8"/>
    </row>
    <row x14ac:dyDescent="0.25" r="666" customHeight="1" ht="14.25">
      <c r="A666" s="30"/>
      <c r="B666" s="30"/>
      <c r="C666" s="30"/>
      <c r="D666" s="7"/>
      <c r="E666" s="7"/>
      <c r="F666" s="7"/>
      <c r="G666" s="30"/>
      <c r="H666" s="7"/>
      <c r="I666" s="8"/>
    </row>
    <row x14ac:dyDescent="0.25" r="667" customHeight="1" ht="14.25">
      <c r="A667" s="30"/>
      <c r="B667" s="30"/>
      <c r="C667" s="30"/>
      <c r="D667" s="7"/>
      <c r="E667" s="7"/>
      <c r="F667" s="7"/>
      <c r="G667" s="30"/>
      <c r="H667" s="7"/>
      <c r="I667" s="8"/>
    </row>
    <row x14ac:dyDescent="0.25" r="668" customHeight="1" ht="14.25">
      <c r="A668" s="30"/>
      <c r="B668" s="30"/>
      <c r="C668" s="30"/>
      <c r="D668" s="7"/>
      <c r="E668" s="7"/>
      <c r="F668" s="7"/>
      <c r="G668" s="30"/>
      <c r="H668" s="7"/>
      <c r="I668" s="8"/>
    </row>
    <row x14ac:dyDescent="0.25" r="669" customHeight="1" ht="14.25">
      <c r="A669" s="30"/>
      <c r="B669" s="30"/>
      <c r="C669" s="30"/>
      <c r="D669" s="7"/>
      <c r="E669" s="7"/>
      <c r="F669" s="7"/>
      <c r="G669" s="30"/>
      <c r="H669" s="7"/>
      <c r="I669" s="8"/>
    </row>
    <row x14ac:dyDescent="0.25" r="670" customHeight="1" ht="14.25">
      <c r="A670" s="30"/>
      <c r="B670" s="30"/>
      <c r="C670" s="30"/>
      <c r="D670" s="7"/>
      <c r="E670" s="7"/>
      <c r="F670" s="7"/>
      <c r="G670" s="30"/>
      <c r="H670" s="7"/>
      <c r="I670" s="8"/>
    </row>
    <row x14ac:dyDescent="0.25" r="671" customHeight="1" ht="14.25">
      <c r="A671" s="30"/>
      <c r="B671" s="30"/>
      <c r="C671" s="30"/>
      <c r="D671" s="7"/>
      <c r="E671" s="7"/>
      <c r="F671" s="7"/>
      <c r="G671" s="30"/>
      <c r="H671" s="7"/>
      <c r="I671" s="8"/>
    </row>
    <row x14ac:dyDescent="0.25" r="672" customHeight="1" ht="14.25">
      <c r="A672" s="30"/>
      <c r="B672" s="30"/>
      <c r="C672" s="30"/>
      <c r="D672" s="7"/>
      <c r="E672" s="7"/>
      <c r="F672" s="7"/>
      <c r="G672" s="30"/>
      <c r="H672" s="7"/>
      <c r="I672" s="8"/>
    </row>
    <row x14ac:dyDescent="0.25" r="673" customHeight="1" ht="14.25">
      <c r="A673" s="30"/>
      <c r="B673" s="30"/>
      <c r="C673" s="30"/>
      <c r="D673" s="7"/>
      <c r="E673" s="7"/>
      <c r="F673" s="7"/>
      <c r="G673" s="30"/>
      <c r="H673" s="7"/>
      <c r="I673" s="8"/>
    </row>
    <row x14ac:dyDescent="0.25" r="674" customHeight="1" ht="14.25">
      <c r="A674" s="30"/>
      <c r="B674" s="30"/>
      <c r="C674" s="30"/>
      <c r="D674" s="7"/>
      <c r="E674" s="7"/>
      <c r="F674" s="7"/>
      <c r="G674" s="30"/>
      <c r="H674" s="7"/>
      <c r="I674" s="8"/>
    </row>
    <row x14ac:dyDescent="0.25" r="675" customHeight="1" ht="14.25">
      <c r="A675" s="30"/>
      <c r="B675" s="30"/>
      <c r="C675" s="30"/>
      <c r="D675" s="7"/>
      <c r="E675" s="7"/>
      <c r="F675" s="7"/>
      <c r="G675" s="30"/>
      <c r="H675" s="7"/>
      <c r="I675" s="8"/>
    </row>
    <row x14ac:dyDescent="0.25" r="676" customHeight="1" ht="14.25">
      <c r="A676" s="30"/>
      <c r="B676" s="30"/>
      <c r="C676" s="30"/>
      <c r="D676" s="7"/>
      <c r="E676" s="7"/>
      <c r="F676" s="7"/>
      <c r="G676" s="30"/>
      <c r="H676" s="7"/>
      <c r="I676" s="8"/>
    </row>
    <row x14ac:dyDescent="0.25" r="677" customHeight="1" ht="14.25">
      <c r="A677" s="30"/>
      <c r="B677" s="30"/>
      <c r="C677" s="30"/>
      <c r="D677" s="7"/>
      <c r="E677" s="7"/>
      <c r="F677" s="7"/>
      <c r="G677" s="30"/>
      <c r="H677" s="7"/>
      <c r="I677" s="8"/>
    </row>
    <row x14ac:dyDescent="0.25" r="678" customHeight="1" ht="14.25">
      <c r="A678" s="30"/>
      <c r="B678" s="30"/>
      <c r="C678" s="30"/>
      <c r="D678" s="7"/>
      <c r="E678" s="7"/>
      <c r="F678" s="7"/>
      <c r="G678" s="30"/>
      <c r="H678" s="7"/>
      <c r="I678" s="8"/>
    </row>
    <row x14ac:dyDescent="0.25" r="679" customHeight="1" ht="14.25">
      <c r="A679" s="30"/>
      <c r="B679" s="30"/>
      <c r="C679" s="30"/>
      <c r="D679" s="7"/>
      <c r="E679" s="7"/>
      <c r="F679" s="7"/>
      <c r="G679" s="30"/>
      <c r="H679" s="7"/>
      <c r="I679" s="8"/>
    </row>
    <row x14ac:dyDescent="0.25" r="680" customHeight="1" ht="14.25">
      <c r="A680" s="30"/>
      <c r="B680" s="30"/>
      <c r="C680" s="30"/>
      <c r="D680" s="7"/>
      <c r="E680" s="7"/>
      <c r="F680" s="7"/>
      <c r="G680" s="30"/>
      <c r="H680" s="7"/>
      <c r="I680" s="8"/>
    </row>
    <row x14ac:dyDescent="0.25" r="681" customHeight="1" ht="14.25">
      <c r="A681" s="30"/>
      <c r="B681" s="30"/>
      <c r="C681" s="30"/>
      <c r="D681" s="7"/>
      <c r="E681" s="7"/>
      <c r="F681" s="7"/>
      <c r="G681" s="30"/>
      <c r="H681" s="7"/>
      <c r="I681" s="8"/>
    </row>
    <row x14ac:dyDescent="0.25" r="682" customHeight="1" ht="14.25">
      <c r="A682" s="30"/>
      <c r="B682" s="30"/>
      <c r="C682" s="30"/>
      <c r="D682" s="7"/>
      <c r="E682" s="7"/>
      <c r="F682" s="7"/>
      <c r="G682" s="30"/>
      <c r="H682" s="7"/>
      <c r="I682" s="8"/>
    </row>
    <row x14ac:dyDescent="0.25" r="683" customHeight="1" ht="14.25">
      <c r="A683" s="30"/>
      <c r="B683" s="30"/>
      <c r="C683" s="30"/>
      <c r="D683" s="7"/>
      <c r="E683" s="7"/>
      <c r="F683" s="7"/>
      <c r="G683" s="30"/>
      <c r="H683" s="7"/>
      <c r="I683" s="8"/>
    </row>
    <row x14ac:dyDescent="0.25" r="684" customHeight="1" ht="14.25">
      <c r="A684" s="30"/>
      <c r="B684" s="30"/>
      <c r="C684" s="30"/>
      <c r="D684" s="7"/>
      <c r="E684" s="7"/>
      <c r="F684" s="7"/>
      <c r="G684" s="30"/>
      <c r="H684" s="7"/>
      <c r="I684" s="8"/>
    </row>
    <row x14ac:dyDescent="0.25" r="685" customHeight="1" ht="14.25">
      <c r="A685" s="30"/>
      <c r="B685" s="30"/>
      <c r="C685" s="30"/>
      <c r="D685" s="7"/>
      <c r="E685" s="7"/>
      <c r="F685" s="7"/>
      <c r="G685" s="30"/>
      <c r="H685" s="7"/>
      <c r="I685" s="8"/>
    </row>
    <row x14ac:dyDescent="0.25" r="686" customHeight="1" ht="14.25">
      <c r="A686" s="30"/>
      <c r="B686" s="30"/>
      <c r="C686" s="30"/>
      <c r="D686" s="7"/>
      <c r="E686" s="7"/>
      <c r="F686" s="7"/>
      <c r="G686" s="30"/>
      <c r="H686" s="7"/>
      <c r="I686" s="8"/>
    </row>
    <row x14ac:dyDescent="0.25" r="687" customHeight="1" ht="14.25">
      <c r="A687" s="30"/>
      <c r="B687" s="30"/>
      <c r="C687" s="30"/>
      <c r="D687" s="7"/>
      <c r="E687" s="7"/>
      <c r="F687" s="7"/>
      <c r="G687" s="30"/>
      <c r="H687" s="7"/>
      <c r="I687" s="8"/>
    </row>
    <row x14ac:dyDescent="0.25" r="688" customHeight="1" ht="14.25">
      <c r="A688" s="30"/>
      <c r="B688" s="30"/>
      <c r="C688" s="30"/>
      <c r="D688" s="7"/>
      <c r="E688" s="7"/>
      <c r="F688" s="7"/>
      <c r="G688" s="30"/>
      <c r="H688" s="7"/>
      <c r="I688" s="8"/>
    </row>
    <row x14ac:dyDescent="0.25" r="689" customHeight="1" ht="14.25">
      <c r="A689" s="30"/>
      <c r="B689" s="30"/>
      <c r="C689" s="30"/>
      <c r="D689" s="7"/>
      <c r="E689" s="7"/>
      <c r="F689" s="7"/>
      <c r="G689" s="30"/>
      <c r="H689" s="7"/>
      <c r="I689" s="8"/>
    </row>
    <row x14ac:dyDescent="0.25" r="690" customHeight="1" ht="14.25">
      <c r="A690" s="30"/>
      <c r="B690" s="30"/>
      <c r="C690" s="30"/>
      <c r="D690" s="7"/>
      <c r="E690" s="7"/>
      <c r="F690" s="7"/>
      <c r="G690" s="30"/>
      <c r="H690" s="7"/>
      <c r="I690" s="8"/>
    </row>
    <row x14ac:dyDescent="0.25" r="691" customHeight="1" ht="14.25">
      <c r="A691" s="30"/>
      <c r="B691" s="30"/>
      <c r="C691" s="30"/>
      <c r="D691" s="7"/>
      <c r="E691" s="7"/>
      <c r="F691" s="7"/>
      <c r="G691" s="30"/>
      <c r="H691" s="7"/>
      <c r="I691" s="8"/>
    </row>
    <row x14ac:dyDescent="0.25" r="692" customHeight="1" ht="14.25">
      <c r="A692" s="30"/>
      <c r="B692" s="30"/>
      <c r="C692" s="30"/>
      <c r="D692" s="7"/>
      <c r="E692" s="7"/>
      <c r="F692" s="7"/>
      <c r="G692" s="30"/>
      <c r="H692" s="7"/>
      <c r="I692" s="8"/>
    </row>
    <row x14ac:dyDescent="0.25" r="693" customHeight="1" ht="14.25">
      <c r="A693" s="30"/>
      <c r="B693" s="30"/>
      <c r="C693" s="30"/>
      <c r="D693" s="7"/>
      <c r="E693" s="7"/>
      <c r="F693" s="7"/>
      <c r="G693" s="30"/>
      <c r="H693" s="7"/>
      <c r="I693" s="8"/>
    </row>
    <row x14ac:dyDescent="0.25" r="694" customHeight="1" ht="14.25">
      <c r="A694" s="30"/>
      <c r="B694" s="30"/>
      <c r="C694" s="30"/>
      <c r="D694" s="7"/>
      <c r="E694" s="7"/>
      <c r="F694" s="7"/>
      <c r="G694" s="30"/>
      <c r="H694" s="7"/>
      <c r="I694" s="8"/>
    </row>
    <row x14ac:dyDescent="0.25" r="695" customHeight="1" ht="14.25">
      <c r="A695" s="30"/>
      <c r="B695" s="30"/>
      <c r="C695" s="30"/>
      <c r="D695" s="7"/>
      <c r="E695" s="7"/>
      <c r="F695" s="7"/>
      <c r="G695" s="30"/>
      <c r="H695" s="7"/>
      <c r="I695" s="8"/>
    </row>
    <row x14ac:dyDescent="0.25" r="696" customHeight="1" ht="14.25">
      <c r="A696" s="30"/>
      <c r="B696" s="30"/>
      <c r="C696" s="30"/>
      <c r="D696" s="7"/>
      <c r="E696" s="7"/>
      <c r="F696" s="7"/>
      <c r="G696" s="30"/>
      <c r="H696" s="7"/>
      <c r="I696" s="8"/>
    </row>
    <row x14ac:dyDescent="0.25" r="697" customHeight="1" ht="14.25">
      <c r="A697" s="30"/>
      <c r="B697" s="30"/>
      <c r="C697" s="30"/>
      <c r="D697" s="7"/>
      <c r="E697" s="7"/>
      <c r="F697" s="7"/>
      <c r="G697" s="30"/>
      <c r="H697" s="7"/>
      <c r="I697" s="8"/>
    </row>
    <row x14ac:dyDescent="0.25" r="698" customHeight="1" ht="14.25">
      <c r="A698" s="30"/>
      <c r="B698" s="30"/>
      <c r="C698" s="30"/>
      <c r="D698" s="7"/>
      <c r="E698" s="7"/>
      <c r="F698" s="7"/>
      <c r="G698" s="30"/>
      <c r="H698" s="7"/>
      <c r="I698" s="8"/>
    </row>
    <row x14ac:dyDescent="0.25" r="699" customHeight="1" ht="14.25">
      <c r="A699" s="30"/>
      <c r="B699" s="30"/>
      <c r="C699" s="30"/>
      <c r="D699" s="7"/>
      <c r="E699" s="7"/>
      <c r="F699" s="7"/>
      <c r="G699" s="30"/>
      <c r="H699" s="7"/>
      <c r="I699" s="8"/>
    </row>
    <row x14ac:dyDescent="0.25" r="700" customHeight="1" ht="14.25">
      <c r="A700" s="30"/>
      <c r="B700" s="30"/>
      <c r="C700" s="30"/>
      <c r="D700" s="7"/>
      <c r="E700" s="7"/>
      <c r="F700" s="7"/>
      <c r="G700" s="30"/>
      <c r="H700" s="7"/>
      <c r="I700" s="8"/>
    </row>
    <row x14ac:dyDescent="0.25" r="701" customHeight="1" ht="14.25">
      <c r="A701" s="30"/>
      <c r="B701" s="30"/>
      <c r="C701" s="30"/>
      <c r="D701" s="7"/>
      <c r="E701" s="7"/>
      <c r="F701" s="7"/>
      <c r="G701" s="30"/>
      <c r="H701" s="7"/>
      <c r="I701" s="8"/>
    </row>
    <row x14ac:dyDescent="0.25" r="702" customHeight="1" ht="14.25">
      <c r="A702" s="30"/>
      <c r="B702" s="30"/>
      <c r="C702" s="30"/>
      <c r="D702" s="7"/>
      <c r="E702" s="7"/>
      <c r="F702" s="7"/>
      <c r="G702" s="30"/>
      <c r="H702" s="7"/>
      <c r="I702" s="8"/>
    </row>
    <row x14ac:dyDescent="0.25" r="703" customHeight="1" ht="14.25">
      <c r="A703" s="30"/>
      <c r="B703" s="30"/>
      <c r="C703" s="30"/>
      <c r="D703" s="7"/>
      <c r="E703" s="7"/>
      <c r="F703" s="7"/>
      <c r="G703" s="30"/>
      <c r="H703" s="7"/>
      <c r="I703" s="8"/>
    </row>
    <row x14ac:dyDescent="0.25" r="704" customHeight="1" ht="14.25">
      <c r="A704" s="30"/>
      <c r="B704" s="30"/>
      <c r="C704" s="30"/>
      <c r="D704" s="7"/>
      <c r="E704" s="7"/>
      <c r="F704" s="7"/>
      <c r="G704" s="30"/>
      <c r="H704" s="7"/>
      <c r="I704" s="8"/>
    </row>
    <row x14ac:dyDescent="0.25" r="705" customHeight="1" ht="14.25">
      <c r="A705" s="30"/>
      <c r="B705" s="30"/>
      <c r="C705" s="30"/>
      <c r="D705" s="7"/>
      <c r="E705" s="7"/>
      <c r="F705" s="7"/>
      <c r="G705" s="30"/>
      <c r="H705" s="7"/>
      <c r="I705" s="8"/>
    </row>
    <row x14ac:dyDescent="0.25" r="706" customHeight="1" ht="14.25">
      <c r="A706" s="30"/>
      <c r="B706" s="30"/>
      <c r="C706" s="30"/>
      <c r="D706" s="7"/>
      <c r="E706" s="7"/>
      <c r="F706" s="7"/>
      <c r="G706" s="30"/>
      <c r="H706" s="7"/>
      <c r="I706" s="8"/>
    </row>
    <row x14ac:dyDescent="0.25" r="707" customHeight="1" ht="14.25">
      <c r="A707" s="30"/>
      <c r="B707" s="30"/>
      <c r="C707" s="30"/>
      <c r="D707" s="7"/>
      <c r="E707" s="7"/>
      <c r="F707" s="7"/>
      <c r="G707" s="30"/>
      <c r="H707" s="7"/>
      <c r="I707" s="8"/>
    </row>
    <row x14ac:dyDescent="0.25" r="708" customHeight="1" ht="14.25">
      <c r="A708" s="30"/>
      <c r="B708" s="30"/>
      <c r="C708" s="30"/>
      <c r="D708" s="7"/>
      <c r="E708" s="7"/>
      <c r="F708" s="7"/>
      <c r="G708" s="30"/>
      <c r="H708" s="7"/>
      <c r="I708" s="8"/>
    </row>
    <row x14ac:dyDescent="0.25" r="709" customHeight="1" ht="14.25">
      <c r="A709" s="30"/>
      <c r="B709" s="30"/>
      <c r="C709" s="30"/>
      <c r="D709" s="7"/>
      <c r="E709" s="7"/>
      <c r="F709" s="7"/>
      <c r="G709" s="30"/>
      <c r="H709" s="7"/>
      <c r="I709" s="8"/>
    </row>
    <row x14ac:dyDescent="0.25" r="710" customHeight="1" ht="14.25">
      <c r="A710" s="30"/>
      <c r="B710" s="30"/>
      <c r="C710" s="30"/>
      <c r="D710" s="7"/>
      <c r="E710" s="7"/>
      <c r="F710" s="7"/>
      <c r="G710" s="30"/>
      <c r="H710" s="7"/>
      <c r="I710" s="8"/>
    </row>
    <row x14ac:dyDescent="0.25" r="711" customHeight="1" ht="14.25">
      <c r="A711" s="30"/>
      <c r="B711" s="30"/>
      <c r="C711" s="30"/>
      <c r="D711" s="7"/>
      <c r="E711" s="7"/>
      <c r="F711" s="7"/>
      <c r="G711" s="30"/>
      <c r="H711" s="7"/>
      <c r="I711" s="8"/>
    </row>
    <row x14ac:dyDescent="0.25" r="712" customHeight="1" ht="14.25">
      <c r="A712" s="30"/>
      <c r="B712" s="30"/>
      <c r="C712" s="30"/>
      <c r="D712" s="7"/>
      <c r="E712" s="7"/>
      <c r="F712" s="7"/>
      <c r="G712" s="30"/>
      <c r="H712" s="7"/>
      <c r="I712" s="8"/>
    </row>
    <row x14ac:dyDescent="0.25" r="713" customHeight="1" ht="14.25">
      <c r="A713" s="30"/>
      <c r="B713" s="30"/>
      <c r="C713" s="30"/>
      <c r="D713" s="7"/>
      <c r="E713" s="7"/>
      <c r="F713" s="7"/>
      <c r="G713" s="30"/>
      <c r="H713" s="7"/>
      <c r="I713" s="8"/>
    </row>
    <row x14ac:dyDescent="0.25" r="714" customHeight="1" ht="14.25">
      <c r="A714" s="30"/>
      <c r="B714" s="30"/>
      <c r="C714" s="30"/>
      <c r="D714" s="7"/>
      <c r="E714" s="7"/>
      <c r="F714" s="7"/>
      <c r="G714" s="30"/>
      <c r="H714" s="7"/>
      <c r="I714" s="8"/>
    </row>
    <row x14ac:dyDescent="0.25" r="715" customHeight="1" ht="14.25">
      <c r="A715" s="30"/>
      <c r="B715" s="30"/>
      <c r="C715" s="30"/>
      <c r="D715" s="7"/>
      <c r="E715" s="7"/>
      <c r="F715" s="7"/>
      <c r="G715" s="30"/>
      <c r="H715" s="7"/>
      <c r="I715" s="8"/>
    </row>
    <row x14ac:dyDescent="0.25" r="716" customHeight="1" ht="14.25">
      <c r="A716" s="30"/>
      <c r="B716" s="30"/>
      <c r="C716" s="30"/>
      <c r="D716" s="7"/>
      <c r="E716" s="7"/>
      <c r="F716" s="7"/>
      <c r="G716" s="30"/>
      <c r="H716" s="7"/>
      <c r="I716" s="8"/>
    </row>
    <row x14ac:dyDescent="0.25" r="717" customHeight="1" ht="14.25">
      <c r="A717" s="30"/>
      <c r="B717" s="30"/>
      <c r="C717" s="30"/>
      <c r="D717" s="7"/>
      <c r="E717" s="7"/>
      <c r="F717" s="7"/>
      <c r="G717" s="30"/>
      <c r="H717" s="7"/>
      <c r="I717" s="8"/>
    </row>
    <row x14ac:dyDescent="0.25" r="718" customHeight="1" ht="14.25">
      <c r="A718" s="30"/>
      <c r="B718" s="30"/>
      <c r="C718" s="30"/>
      <c r="D718" s="7"/>
      <c r="E718" s="7"/>
      <c r="F718" s="7"/>
      <c r="G718" s="30"/>
      <c r="H718" s="7"/>
      <c r="I718" s="8"/>
    </row>
    <row x14ac:dyDescent="0.25" r="719" customHeight="1" ht="14.25">
      <c r="A719" s="30"/>
      <c r="B719" s="30"/>
      <c r="C719" s="30"/>
      <c r="D719" s="7"/>
      <c r="E719" s="7"/>
      <c r="F719" s="7"/>
      <c r="G719" s="30"/>
      <c r="H719" s="7"/>
      <c r="I719" s="8"/>
    </row>
    <row x14ac:dyDescent="0.25" r="720" customHeight="1" ht="14.25">
      <c r="A720" s="30"/>
      <c r="B720" s="30"/>
      <c r="C720" s="30"/>
      <c r="D720" s="7"/>
      <c r="E720" s="7"/>
      <c r="F720" s="7"/>
      <c r="G720" s="30"/>
      <c r="H720" s="7"/>
      <c r="I720" s="8"/>
    </row>
    <row x14ac:dyDescent="0.25" r="721" customHeight="1" ht="14.25">
      <c r="A721" s="30"/>
      <c r="B721" s="30"/>
      <c r="C721" s="30"/>
      <c r="D721" s="7"/>
      <c r="E721" s="7"/>
      <c r="F721" s="7"/>
      <c r="G721" s="30"/>
      <c r="H721" s="7"/>
      <c r="I721" s="8"/>
    </row>
    <row x14ac:dyDescent="0.25" r="722" customHeight="1" ht="14.25">
      <c r="A722" s="30"/>
      <c r="B722" s="30"/>
      <c r="C722" s="30"/>
      <c r="D722" s="7"/>
      <c r="E722" s="7"/>
      <c r="F722" s="7"/>
      <c r="G722" s="30"/>
      <c r="H722" s="7"/>
      <c r="I722" s="8"/>
    </row>
    <row x14ac:dyDescent="0.25" r="723" customHeight="1" ht="14.25">
      <c r="A723" s="30"/>
      <c r="B723" s="30"/>
      <c r="C723" s="30"/>
      <c r="D723" s="7"/>
      <c r="E723" s="7"/>
      <c r="F723" s="7"/>
      <c r="G723" s="30"/>
      <c r="H723" s="7"/>
      <c r="I723" s="8"/>
    </row>
    <row x14ac:dyDescent="0.25" r="724" customHeight="1" ht="14.25">
      <c r="A724" s="30"/>
      <c r="B724" s="30"/>
      <c r="C724" s="30"/>
      <c r="D724" s="7"/>
      <c r="E724" s="7"/>
      <c r="F724" s="7"/>
      <c r="G724" s="30"/>
      <c r="H724" s="7"/>
      <c r="I724" s="8"/>
    </row>
    <row x14ac:dyDescent="0.25" r="725" customHeight="1" ht="14.25">
      <c r="A725" s="30"/>
      <c r="B725" s="30"/>
      <c r="C725" s="30"/>
      <c r="D725" s="7"/>
      <c r="E725" s="7"/>
      <c r="F725" s="7"/>
      <c r="G725" s="30"/>
      <c r="H725" s="7"/>
      <c r="I725" s="8"/>
    </row>
    <row x14ac:dyDescent="0.25" r="726" customHeight="1" ht="14.25">
      <c r="A726" s="30"/>
      <c r="B726" s="30"/>
      <c r="C726" s="30"/>
      <c r="D726" s="7"/>
      <c r="E726" s="7"/>
      <c r="F726" s="7"/>
      <c r="G726" s="30"/>
      <c r="H726" s="7"/>
      <c r="I726" s="8"/>
    </row>
    <row x14ac:dyDescent="0.25" r="727" customHeight="1" ht="14.25">
      <c r="A727" s="30"/>
      <c r="B727" s="30"/>
      <c r="C727" s="30"/>
      <c r="D727" s="7"/>
      <c r="E727" s="7"/>
      <c r="F727" s="7"/>
      <c r="G727" s="30"/>
      <c r="H727" s="7"/>
      <c r="I727" s="8"/>
    </row>
    <row x14ac:dyDescent="0.25" r="728" customHeight="1" ht="14.25">
      <c r="A728" s="30"/>
      <c r="B728" s="30"/>
      <c r="C728" s="30"/>
      <c r="D728" s="7"/>
      <c r="E728" s="7"/>
      <c r="F728" s="7"/>
      <c r="G728" s="30"/>
      <c r="H728" s="7"/>
      <c r="I728" s="8"/>
    </row>
    <row x14ac:dyDescent="0.25" r="729" customHeight="1" ht="14.25">
      <c r="A729" s="30"/>
      <c r="B729" s="30"/>
      <c r="C729" s="30"/>
      <c r="D729" s="7"/>
      <c r="E729" s="7"/>
      <c r="F729" s="7"/>
      <c r="G729" s="30"/>
      <c r="H729" s="7"/>
      <c r="I729" s="8"/>
    </row>
    <row x14ac:dyDescent="0.25" r="730" customHeight="1" ht="14.25">
      <c r="A730" s="30"/>
      <c r="B730" s="30"/>
      <c r="C730" s="30"/>
      <c r="D730" s="7"/>
      <c r="E730" s="7"/>
      <c r="F730" s="7"/>
      <c r="G730" s="30"/>
      <c r="H730" s="7"/>
      <c r="I730" s="8"/>
    </row>
    <row x14ac:dyDescent="0.25" r="731" customHeight="1" ht="14.25">
      <c r="A731" s="30"/>
      <c r="B731" s="30"/>
      <c r="C731" s="30"/>
      <c r="D731" s="7"/>
      <c r="E731" s="7"/>
      <c r="F731" s="7"/>
      <c r="G731" s="30"/>
      <c r="H731" s="7"/>
      <c r="I731" s="8"/>
    </row>
    <row x14ac:dyDescent="0.25" r="732" customHeight="1" ht="14.25">
      <c r="A732" s="30"/>
      <c r="B732" s="30"/>
      <c r="C732" s="30"/>
      <c r="D732" s="7"/>
      <c r="E732" s="7"/>
      <c r="F732" s="7"/>
      <c r="G732" s="30"/>
      <c r="H732" s="7"/>
      <c r="I732" s="8"/>
    </row>
    <row x14ac:dyDescent="0.25" r="733" customHeight="1" ht="14.25">
      <c r="A733" s="30"/>
      <c r="B733" s="30"/>
      <c r="C733" s="30"/>
      <c r="D733" s="7"/>
      <c r="E733" s="7"/>
      <c r="F733" s="7"/>
      <c r="G733" s="30"/>
      <c r="H733" s="7"/>
      <c r="I733" s="8"/>
    </row>
    <row x14ac:dyDescent="0.25" r="734" customHeight="1" ht="14.25">
      <c r="A734" s="30"/>
      <c r="B734" s="30"/>
      <c r="C734" s="30"/>
      <c r="D734" s="7"/>
      <c r="E734" s="7"/>
      <c r="F734" s="7"/>
      <c r="G734" s="30"/>
      <c r="H734" s="7"/>
      <c r="I734" s="8"/>
    </row>
    <row x14ac:dyDescent="0.25" r="735" customHeight="1" ht="14.25">
      <c r="A735" s="30"/>
      <c r="B735" s="30"/>
      <c r="C735" s="30"/>
      <c r="D735" s="7"/>
      <c r="E735" s="7"/>
      <c r="F735" s="7"/>
      <c r="G735" s="30"/>
      <c r="H735" s="7"/>
      <c r="I735" s="8"/>
    </row>
    <row x14ac:dyDescent="0.25" r="736" customHeight="1" ht="14.25">
      <c r="A736" s="30"/>
      <c r="B736" s="30"/>
      <c r="C736" s="30"/>
      <c r="D736" s="7"/>
      <c r="E736" s="7"/>
      <c r="F736" s="7"/>
      <c r="G736" s="30"/>
      <c r="H736" s="7"/>
      <c r="I736" s="8"/>
    </row>
    <row x14ac:dyDescent="0.25" r="737" customHeight="1" ht="14.25">
      <c r="A737" s="30"/>
      <c r="B737" s="30"/>
      <c r="C737" s="30"/>
      <c r="D737" s="7"/>
      <c r="E737" s="7"/>
      <c r="F737" s="7"/>
      <c r="G737" s="30"/>
      <c r="H737" s="7"/>
      <c r="I737" s="8"/>
    </row>
    <row x14ac:dyDescent="0.25" r="738" customHeight="1" ht="14.25">
      <c r="A738" s="30"/>
      <c r="B738" s="30"/>
      <c r="C738" s="30"/>
      <c r="D738" s="7"/>
      <c r="E738" s="7"/>
      <c r="F738" s="7"/>
      <c r="G738" s="30"/>
      <c r="H738" s="7"/>
      <c r="I738" s="8"/>
    </row>
    <row x14ac:dyDescent="0.25" r="739" customHeight="1" ht="14.25">
      <c r="A739" s="30"/>
      <c r="B739" s="30"/>
      <c r="C739" s="30"/>
      <c r="D739" s="7"/>
      <c r="E739" s="7"/>
      <c r="F739" s="7"/>
      <c r="G739" s="30"/>
      <c r="H739" s="7"/>
      <c r="I739" s="8"/>
    </row>
    <row x14ac:dyDescent="0.25" r="740" customHeight="1" ht="14.25">
      <c r="A740" s="30"/>
      <c r="B740" s="30"/>
      <c r="C740" s="30"/>
      <c r="D740" s="7"/>
      <c r="E740" s="7"/>
      <c r="F740" s="7"/>
      <c r="G740" s="30"/>
      <c r="H740" s="7"/>
      <c r="I740" s="8"/>
    </row>
    <row x14ac:dyDescent="0.25" r="741" customHeight="1" ht="14.25">
      <c r="A741" s="30"/>
      <c r="B741" s="30"/>
      <c r="C741" s="30"/>
      <c r="D741" s="7"/>
      <c r="E741" s="7"/>
      <c r="F741" s="7"/>
      <c r="G741" s="30"/>
      <c r="H741" s="7"/>
      <c r="I741" s="8"/>
    </row>
    <row x14ac:dyDescent="0.25" r="742" customHeight="1" ht="14.25">
      <c r="A742" s="30"/>
      <c r="B742" s="30"/>
      <c r="C742" s="30"/>
      <c r="D742" s="7"/>
      <c r="E742" s="7"/>
      <c r="F742" s="7"/>
      <c r="G742" s="30"/>
      <c r="H742" s="7"/>
      <c r="I742" s="8"/>
    </row>
    <row x14ac:dyDescent="0.25" r="743" customHeight="1" ht="14.25">
      <c r="A743" s="30"/>
      <c r="B743" s="30"/>
      <c r="C743" s="30"/>
      <c r="D743" s="7"/>
      <c r="E743" s="7"/>
      <c r="F743" s="7"/>
      <c r="G743" s="30"/>
      <c r="H743" s="7"/>
      <c r="I743" s="8"/>
    </row>
    <row x14ac:dyDescent="0.25" r="744" customHeight="1" ht="14.25">
      <c r="A744" s="30"/>
      <c r="B744" s="30"/>
      <c r="C744" s="30"/>
      <c r="D744" s="7"/>
      <c r="E744" s="7"/>
      <c r="F744" s="7"/>
      <c r="G744" s="30"/>
      <c r="H744" s="7"/>
      <c r="I744" s="8"/>
    </row>
    <row x14ac:dyDescent="0.25" r="745" customHeight="1" ht="14.25">
      <c r="A745" s="30"/>
      <c r="B745" s="30"/>
      <c r="C745" s="30"/>
      <c r="D745" s="7"/>
      <c r="E745" s="7"/>
      <c r="F745" s="7"/>
      <c r="G745" s="30"/>
      <c r="H745" s="7"/>
      <c r="I745" s="8"/>
    </row>
    <row x14ac:dyDescent="0.25" r="746" customHeight="1" ht="14.25">
      <c r="A746" s="30"/>
      <c r="B746" s="30"/>
      <c r="C746" s="30"/>
      <c r="D746" s="7"/>
      <c r="E746" s="7"/>
      <c r="F746" s="7"/>
      <c r="G746" s="30"/>
      <c r="H746" s="7"/>
      <c r="I746" s="8"/>
    </row>
    <row x14ac:dyDescent="0.25" r="747" customHeight="1" ht="14.25">
      <c r="A747" s="30"/>
      <c r="B747" s="30"/>
      <c r="C747" s="30"/>
      <c r="D747" s="7"/>
      <c r="E747" s="7"/>
      <c r="F747" s="7"/>
      <c r="G747" s="30"/>
      <c r="H747" s="7"/>
      <c r="I747" s="8"/>
    </row>
    <row x14ac:dyDescent="0.25" r="748" customHeight="1" ht="14.25">
      <c r="A748" s="30"/>
      <c r="B748" s="30"/>
      <c r="C748" s="30"/>
      <c r="D748" s="7"/>
      <c r="E748" s="7"/>
      <c r="F748" s="7"/>
      <c r="G748" s="30"/>
      <c r="H748" s="7"/>
      <c r="I748" s="8"/>
    </row>
    <row x14ac:dyDescent="0.25" r="749" customHeight="1" ht="14.25">
      <c r="A749" s="30"/>
      <c r="B749" s="30"/>
      <c r="C749" s="30"/>
      <c r="D749" s="7"/>
      <c r="E749" s="7"/>
      <c r="F749" s="7"/>
      <c r="G749" s="30"/>
      <c r="H749" s="7"/>
      <c r="I749" s="8"/>
    </row>
    <row x14ac:dyDescent="0.25" r="750" customHeight="1" ht="14.25">
      <c r="A750" s="30"/>
      <c r="B750" s="30"/>
      <c r="C750" s="30"/>
      <c r="D750" s="7"/>
      <c r="E750" s="7"/>
      <c r="F750" s="7"/>
      <c r="G750" s="30"/>
      <c r="H750" s="7"/>
      <c r="I750" s="8"/>
    </row>
    <row x14ac:dyDescent="0.25" r="751" customHeight="1" ht="14.25">
      <c r="A751" s="30"/>
      <c r="B751" s="30"/>
      <c r="C751" s="30"/>
      <c r="D751" s="7"/>
      <c r="E751" s="7"/>
      <c r="F751" s="7"/>
      <c r="G751" s="30"/>
      <c r="H751" s="7"/>
      <c r="I751" s="8"/>
    </row>
    <row x14ac:dyDescent="0.25" r="752" customHeight="1" ht="14.25">
      <c r="A752" s="30"/>
      <c r="B752" s="30"/>
      <c r="C752" s="30"/>
      <c r="D752" s="7"/>
      <c r="E752" s="7"/>
      <c r="F752" s="7"/>
      <c r="G752" s="30"/>
      <c r="H752" s="7"/>
      <c r="I752" s="8"/>
    </row>
    <row x14ac:dyDescent="0.25" r="753" customHeight="1" ht="14.25">
      <c r="A753" s="30"/>
      <c r="B753" s="30"/>
      <c r="C753" s="30"/>
      <c r="D753" s="7"/>
      <c r="E753" s="7"/>
      <c r="F753" s="7"/>
      <c r="G753" s="30"/>
      <c r="H753" s="7"/>
      <c r="I753" s="8"/>
    </row>
    <row x14ac:dyDescent="0.25" r="754" customHeight="1" ht="14.25">
      <c r="A754" s="30"/>
      <c r="B754" s="30"/>
      <c r="C754" s="30"/>
      <c r="D754" s="7"/>
      <c r="E754" s="7"/>
      <c r="F754" s="7"/>
      <c r="G754" s="30"/>
      <c r="H754" s="7"/>
      <c r="I754" s="8"/>
    </row>
    <row x14ac:dyDescent="0.25" r="755" customHeight="1" ht="14.25">
      <c r="A755" s="30"/>
      <c r="B755" s="30"/>
      <c r="C755" s="30"/>
      <c r="D755" s="7"/>
      <c r="E755" s="7"/>
      <c r="F755" s="7"/>
      <c r="G755" s="30"/>
      <c r="H755" s="7"/>
      <c r="I755" s="8"/>
    </row>
    <row x14ac:dyDescent="0.25" r="756" customHeight="1" ht="14.25">
      <c r="A756" s="30"/>
      <c r="B756" s="30"/>
      <c r="C756" s="30"/>
      <c r="D756" s="7"/>
      <c r="E756" s="7"/>
      <c r="F756" s="7"/>
      <c r="G756" s="30"/>
      <c r="H756" s="7"/>
      <c r="I756" s="8"/>
    </row>
    <row x14ac:dyDescent="0.25" r="757" customHeight="1" ht="14.25">
      <c r="A757" s="30"/>
      <c r="B757" s="30"/>
      <c r="C757" s="30"/>
      <c r="D757" s="7"/>
      <c r="E757" s="7"/>
      <c r="F757" s="7"/>
      <c r="G757" s="30"/>
      <c r="H757" s="7"/>
      <c r="I757" s="8"/>
    </row>
    <row x14ac:dyDescent="0.25" r="758" customHeight="1" ht="14.25">
      <c r="A758" s="30"/>
      <c r="B758" s="30"/>
      <c r="C758" s="30"/>
      <c r="D758" s="7"/>
      <c r="E758" s="7"/>
      <c r="F758" s="7"/>
      <c r="G758" s="30"/>
      <c r="H758" s="7"/>
      <c r="I758" s="8"/>
    </row>
    <row x14ac:dyDescent="0.25" r="759" customHeight="1" ht="14.25">
      <c r="A759" s="30"/>
      <c r="B759" s="30"/>
      <c r="C759" s="30"/>
      <c r="D759" s="7"/>
      <c r="E759" s="7"/>
      <c r="F759" s="7"/>
      <c r="G759" s="30"/>
      <c r="H759" s="7"/>
      <c r="I759" s="8"/>
    </row>
    <row x14ac:dyDescent="0.25" r="760" customHeight="1" ht="14.25">
      <c r="A760" s="30"/>
      <c r="B760" s="30"/>
      <c r="C760" s="30"/>
      <c r="D760" s="7"/>
      <c r="E760" s="7"/>
      <c r="F760" s="7"/>
      <c r="G760" s="30"/>
      <c r="H760" s="7"/>
      <c r="I760" s="8"/>
    </row>
    <row x14ac:dyDescent="0.25" r="761" customHeight="1" ht="14.25">
      <c r="A761" s="30"/>
      <c r="B761" s="30"/>
      <c r="C761" s="30"/>
      <c r="D761" s="7"/>
      <c r="E761" s="7"/>
      <c r="F761" s="7"/>
      <c r="G761" s="30"/>
      <c r="H761" s="7"/>
      <c r="I761" s="8"/>
    </row>
    <row x14ac:dyDescent="0.25" r="762" customHeight="1" ht="14.25">
      <c r="A762" s="30"/>
      <c r="B762" s="30"/>
      <c r="C762" s="30"/>
      <c r="D762" s="7"/>
      <c r="E762" s="7"/>
      <c r="F762" s="7"/>
      <c r="G762" s="30"/>
      <c r="H762" s="7"/>
      <c r="I762" s="8"/>
    </row>
    <row x14ac:dyDescent="0.25" r="763" customHeight="1" ht="14.25">
      <c r="A763" s="30"/>
      <c r="B763" s="30"/>
      <c r="C763" s="30"/>
      <c r="D763" s="7"/>
      <c r="E763" s="7"/>
      <c r="F763" s="7"/>
      <c r="G763" s="30"/>
      <c r="H763" s="7"/>
      <c r="I763" s="8"/>
    </row>
    <row x14ac:dyDescent="0.25" r="764" customHeight="1" ht="14.25">
      <c r="A764" s="30"/>
      <c r="B764" s="30"/>
      <c r="C764" s="30"/>
      <c r="D764" s="7"/>
      <c r="E764" s="7"/>
      <c r="F764" s="7"/>
      <c r="G764" s="30"/>
      <c r="H764" s="7"/>
      <c r="I764" s="8"/>
    </row>
    <row x14ac:dyDescent="0.25" r="765" customHeight="1" ht="14.25">
      <c r="A765" s="30"/>
      <c r="B765" s="30"/>
      <c r="C765" s="30"/>
      <c r="D765" s="7"/>
      <c r="E765" s="7"/>
      <c r="F765" s="7"/>
      <c r="G765" s="30"/>
      <c r="H765" s="7"/>
      <c r="I765" s="8"/>
    </row>
    <row x14ac:dyDescent="0.25" r="766" customHeight="1" ht="14.25">
      <c r="A766" s="30"/>
      <c r="B766" s="30"/>
      <c r="C766" s="30"/>
      <c r="D766" s="7"/>
      <c r="E766" s="7"/>
      <c r="F766" s="7"/>
      <c r="G766" s="30"/>
      <c r="H766" s="7"/>
      <c r="I766" s="8"/>
    </row>
    <row x14ac:dyDescent="0.25" r="767" customHeight="1" ht="14.25">
      <c r="A767" s="30"/>
      <c r="B767" s="30"/>
      <c r="C767" s="30"/>
      <c r="D767" s="7"/>
      <c r="E767" s="7"/>
      <c r="F767" s="7"/>
      <c r="G767" s="30"/>
      <c r="H767" s="7"/>
      <c r="I767" s="8"/>
    </row>
    <row x14ac:dyDescent="0.25" r="768" customHeight="1" ht="14.25">
      <c r="A768" s="30"/>
      <c r="B768" s="30"/>
      <c r="C768" s="30"/>
      <c r="D768" s="7"/>
      <c r="E768" s="7"/>
      <c r="F768" s="7"/>
      <c r="G768" s="30"/>
      <c r="H768" s="7"/>
      <c r="I768" s="8"/>
    </row>
    <row x14ac:dyDescent="0.25" r="769" customHeight="1" ht="14.25">
      <c r="A769" s="30"/>
      <c r="B769" s="30"/>
      <c r="C769" s="30"/>
      <c r="D769" s="7"/>
      <c r="E769" s="7"/>
      <c r="F769" s="7"/>
      <c r="G769" s="30"/>
      <c r="H769" s="7"/>
      <c r="I769" s="8"/>
    </row>
    <row x14ac:dyDescent="0.25" r="770" customHeight="1" ht="14.25">
      <c r="A770" s="30"/>
      <c r="B770" s="30"/>
      <c r="C770" s="30"/>
      <c r="D770" s="7"/>
      <c r="E770" s="7"/>
      <c r="F770" s="7"/>
      <c r="G770" s="30"/>
      <c r="H770" s="7"/>
      <c r="I770" s="8"/>
    </row>
    <row x14ac:dyDescent="0.25" r="771" customHeight="1" ht="14.25">
      <c r="A771" s="30"/>
      <c r="B771" s="30"/>
      <c r="C771" s="30"/>
      <c r="D771" s="7"/>
      <c r="E771" s="7"/>
      <c r="F771" s="7"/>
      <c r="G771" s="30"/>
      <c r="H771" s="7"/>
      <c r="I771" s="8"/>
    </row>
    <row x14ac:dyDescent="0.25" r="772" customHeight="1" ht="14.25">
      <c r="A772" s="30"/>
      <c r="B772" s="30"/>
      <c r="C772" s="30"/>
      <c r="D772" s="7"/>
      <c r="E772" s="7"/>
      <c r="F772" s="7"/>
      <c r="G772" s="30"/>
      <c r="H772" s="7"/>
      <c r="I772" s="8"/>
    </row>
    <row x14ac:dyDescent="0.25" r="773" customHeight="1" ht="14.25">
      <c r="A773" s="30"/>
      <c r="B773" s="30"/>
      <c r="C773" s="30"/>
      <c r="D773" s="7"/>
      <c r="E773" s="7"/>
      <c r="F773" s="7"/>
      <c r="G773" s="30"/>
      <c r="H773" s="7"/>
      <c r="I773" s="8"/>
    </row>
    <row x14ac:dyDescent="0.25" r="774" customHeight="1" ht="14.25">
      <c r="A774" s="30"/>
      <c r="B774" s="30"/>
      <c r="C774" s="30"/>
      <c r="D774" s="7"/>
      <c r="E774" s="7"/>
      <c r="F774" s="7"/>
      <c r="G774" s="30"/>
      <c r="H774" s="7"/>
      <c r="I774" s="8"/>
    </row>
    <row x14ac:dyDescent="0.25" r="775" customHeight="1" ht="14.25">
      <c r="A775" s="30"/>
      <c r="B775" s="30"/>
      <c r="C775" s="30"/>
      <c r="D775" s="7"/>
      <c r="E775" s="7"/>
      <c r="F775" s="7"/>
      <c r="G775" s="30"/>
      <c r="H775" s="7"/>
      <c r="I775" s="8"/>
    </row>
    <row x14ac:dyDescent="0.25" r="776" customHeight="1" ht="14.25">
      <c r="A776" s="30"/>
      <c r="B776" s="30"/>
      <c r="C776" s="30"/>
      <c r="D776" s="7"/>
      <c r="E776" s="7"/>
      <c r="F776" s="7"/>
      <c r="G776" s="30"/>
      <c r="H776" s="7"/>
      <c r="I776" s="8"/>
    </row>
    <row x14ac:dyDescent="0.25" r="777" customHeight="1" ht="14.25">
      <c r="A777" s="30"/>
      <c r="B777" s="30"/>
      <c r="C777" s="30"/>
      <c r="D777" s="7"/>
      <c r="E777" s="7"/>
      <c r="F777" s="7"/>
      <c r="G777" s="30"/>
      <c r="H777" s="7"/>
      <c r="I777" s="8"/>
    </row>
    <row x14ac:dyDescent="0.25" r="778" customHeight="1" ht="14.25">
      <c r="A778" s="30"/>
      <c r="B778" s="30"/>
      <c r="C778" s="30"/>
      <c r="D778" s="7"/>
      <c r="E778" s="7"/>
      <c r="F778" s="7"/>
      <c r="G778" s="30"/>
      <c r="H778" s="7"/>
      <c r="I778" s="8"/>
    </row>
    <row x14ac:dyDescent="0.25" r="779" customHeight="1" ht="14.25">
      <c r="A779" s="30"/>
      <c r="B779" s="30"/>
      <c r="C779" s="30"/>
      <c r="D779" s="7"/>
      <c r="E779" s="7"/>
      <c r="F779" s="7"/>
      <c r="G779" s="30"/>
      <c r="H779" s="7"/>
      <c r="I779" s="8"/>
    </row>
    <row x14ac:dyDescent="0.25" r="780" customHeight="1" ht="14.25">
      <c r="A780" s="30"/>
      <c r="B780" s="30"/>
      <c r="C780" s="30"/>
      <c r="D780" s="7"/>
      <c r="E780" s="7"/>
      <c r="F780" s="7"/>
      <c r="G780" s="30"/>
      <c r="H780" s="7"/>
      <c r="I780" s="8"/>
    </row>
    <row x14ac:dyDescent="0.25" r="781" customHeight="1" ht="14.25">
      <c r="A781" s="30"/>
      <c r="B781" s="30"/>
      <c r="C781" s="30"/>
      <c r="D781" s="7"/>
      <c r="E781" s="7"/>
      <c r="F781" s="7"/>
      <c r="G781" s="30"/>
      <c r="H781" s="7"/>
      <c r="I781" s="8"/>
    </row>
    <row x14ac:dyDescent="0.25" r="782" customHeight="1" ht="14.25">
      <c r="A782" s="30"/>
      <c r="B782" s="30"/>
      <c r="C782" s="30"/>
      <c r="D782" s="7"/>
      <c r="E782" s="7"/>
      <c r="F782" s="7"/>
      <c r="G782" s="30"/>
      <c r="H782" s="7"/>
      <c r="I782" s="8"/>
    </row>
    <row x14ac:dyDescent="0.25" r="783" customHeight="1" ht="14.25">
      <c r="A783" s="30"/>
      <c r="B783" s="30"/>
      <c r="C783" s="30"/>
      <c r="D783" s="7"/>
      <c r="E783" s="7"/>
      <c r="F783" s="7"/>
      <c r="G783" s="30"/>
      <c r="H783" s="7"/>
      <c r="I783" s="8"/>
    </row>
    <row x14ac:dyDescent="0.25" r="784" customHeight="1" ht="14.25">
      <c r="A784" s="30"/>
      <c r="B784" s="30"/>
      <c r="C784" s="30"/>
      <c r="D784" s="7"/>
      <c r="E784" s="7"/>
      <c r="F784" s="7"/>
      <c r="G784" s="30"/>
      <c r="H784" s="7"/>
      <c r="I784" s="8"/>
    </row>
    <row x14ac:dyDescent="0.25" r="785" customHeight="1" ht="14.25">
      <c r="A785" s="30"/>
      <c r="B785" s="30"/>
      <c r="C785" s="30"/>
      <c r="D785" s="7"/>
      <c r="E785" s="7"/>
      <c r="F785" s="7"/>
      <c r="G785" s="30"/>
      <c r="H785" s="7"/>
      <c r="I785" s="8"/>
    </row>
    <row x14ac:dyDescent="0.25" r="786" customHeight="1" ht="14.25">
      <c r="A786" s="30"/>
      <c r="B786" s="30"/>
      <c r="C786" s="30"/>
      <c r="D786" s="7"/>
      <c r="E786" s="7"/>
      <c r="F786" s="7"/>
      <c r="G786" s="30"/>
      <c r="H786" s="7"/>
      <c r="I786" s="8"/>
    </row>
    <row x14ac:dyDescent="0.25" r="787" customHeight="1" ht="14.25">
      <c r="A787" s="30"/>
      <c r="B787" s="30"/>
      <c r="C787" s="30"/>
      <c r="D787" s="7"/>
      <c r="E787" s="7"/>
      <c r="F787" s="7"/>
      <c r="G787" s="30"/>
      <c r="H787" s="7"/>
      <c r="I787" s="8"/>
    </row>
    <row x14ac:dyDescent="0.25" r="788" customHeight="1" ht="14.25">
      <c r="A788" s="30"/>
      <c r="B788" s="30"/>
      <c r="C788" s="30"/>
      <c r="D788" s="7"/>
      <c r="E788" s="7"/>
      <c r="F788" s="7"/>
      <c r="G788" s="30"/>
      <c r="H788" s="7"/>
      <c r="I788" s="8"/>
    </row>
    <row x14ac:dyDescent="0.25" r="789" customHeight="1" ht="14.25">
      <c r="A789" s="30"/>
      <c r="B789" s="30"/>
      <c r="C789" s="30"/>
      <c r="D789" s="7"/>
      <c r="E789" s="7"/>
      <c r="F789" s="7"/>
      <c r="G789" s="30"/>
      <c r="H789" s="7"/>
      <c r="I789" s="8"/>
    </row>
    <row x14ac:dyDescent="0.25" r="790" customHeight="1" ht="14.25">
      <c r="A790" s="30"/>
      <c r="B790" s="30"/>
      <c r="C790" s="30"/>
      <c r="D790" s="7"/>
      <c r="E790" s="7"/>
      <c r="F790" s="7"/>
      <c r="G790" s="30"/>
      <c r="H790" s="7"/>
      <c r="I790" s="8"/>
    </row>
    <row x14ac:dyDescent="0.25" r="791" customHeight="1" ht="14.25">
      <c r="A791" s="30"/>
      <c r="B791" s="30"/>
      <c r="C791" s="30"/>
      <c r="D791" s="7"/>
      <c r="E791" s="7"/>
      <c r="F791" s="7"/>
      <c r="G791" s="30"/>
      <c r="H791" s="7"/>
      <c r="I791" s="8"/>
    </row>
    <row x14ac:dyDescent="0.25" r="792" customHeight="1" ht="14.25">
      <c r="A792" s="30"/>
      <c r="B792" s="30"/>
      <c r="C792" s="30"/>
      <c r="D792" s="7"/>
      <c r="E792" s="7"/>
      <c r="F792" s="7"/>
      <c r="G792" s="30"/>
      <c r="H792" s="7"/>
      <c r="I792" s="8"/>
    </row>
    <row x14ac:dyDescent="0.25" r="793" customHeight="1" ht="14.25">
      <c r="A793" s="30"/>
      <c r="B793" s="30"/>
      <c r="C793" s="30"/>
      <c r="D793" s="7"/>
      <c r="E793" s="7"/>
      <c r="F793" s="7"/>
      <c r="G793" s="30"/>
      <c r="H793" s="7"/>
      <c r="I793" s="8"/>
    </row>
    <row x14ac:dyDescent="0.25" r="794" customHeight="1" ht="14.25">
      <c r="A794" s="30"/>
      <c r="B794" s="30"/>
      <c r="C794" s="30"/>
      <c r="D794" s="7"/>
      <c r="E794" s="7"/>
      <c r="F794" s="7"/>
      <c r="G794" s="30"/>
      <c r="H794" s="7"/>
      <c r="I794" s="8"/>
    </row>
    <row x14ac:dyDescent="0.25" r="795" customHeight="1" ht="14.25">
      <c r="A795" s="30"/>
      <c r="B795" s="30"/>
      <c r="C795" s="30"/>
      <c r="D795" s="7"/>
      <c r="E795" s="7"/>
      <c r="F795" s="7"/>
      <c r="G795" s="30"/>
      <c r="H795" s="7"/>
      <c r="I795" s="8"/>
    </row>
    <row x14ac:dyDescent="0.25" r="796" customHeight="1" ht="14.25">
      <c r="A796" s="30"/>
      <c r="B796" s="30"/>
      <c r="C796" s="30"/>
      <c r="D796" s="7"/>
      <c r="E796" s="7"/>
      <c r="F796" s="7"/>
      <c r="G796" s="30"/>
      <c r="H796" s="7"/>
      <c r="I796" s="8"/>
    </row>
    <row x14ac:dyDescent="0.25" r="797" customHeight="1" ht="14.25">
      <c r="A797" s="30"/>
      <c r="B797" s="30"/>
      <c r="C797" s="30"/>
      <c r="D797" s="7"/>
      <c r="E797" s="7"/>
      <c r="F797" s="7"/>
      <c r="G797" s="30"/>
      <c r="H797" s="7"/>
      <c r="I797" s="8"/>
    </row>
    <row x14ac:dyDescent="0.25" r="798" customHeight="1" ht="14.25">
      <c r="A798" s="30"/>
      <c r="B798" s="30"/>
      <c r="C798" s="30"/>
      <c r="D798" s="7"/>
      <c r="E798" s="7"/>
      <c r="F798" s="7"/>
      <c r="G798" s="30"/>
      <c r="H798" s="7"/>
      <c r="I798" s="8"/>
    </row>
    <row x14ac:dyDescent="0.25" r="799" customHeight="1" ht="14.25">
      <c r="A799" s="30"/>
      <c r="B799" s="30"/>
      <c r="C799" s="30"/>
      <c r="D799" s="7"/>
      <c r="E799" s="7"/>
      <c r="F799" s="7"/>
      <c r="G799" s="30"/>
      <c r="H799" s="7"/>
      <c r="I799" s="8"/>
    </row>
    <row x14ac:dyDescent="0.25" r="800" customHeight="1" ht="14.25">
      <c r="A800" s="30"/>
      <c r="B800" s="30"/>
      <c r="C800" s="30"/>
      <c r="D800" s="7"/>
      <c r="E800" s="7"/>
      <c r="F800" s="7"/>
      <c r="G800" s="30"/>
      <c r="H800" s="7"/>
      <c r="I800" s="8"/>
    </row>
    <row x14ac:dyDescent="0.25" r="801" customHeight="1" ht="14.25">
      <c r="A801" s="30"/>
      <c r="B801" s="30"/>
      <c r="C801" s="30"/>
      <c r="D801" s="7"/>
      <c r="E801" s="7"/>
      <c r="F801" s="7"/>
      <c r="G801" s="30"/>
      <c r="H801" s="7"/>
      <c r="I801" s="8"/>
    </row>
    <row x14ac:dyDescent="0.25" r="802" customHeight="1" ht="14.25">
      <c r="A802" s="30"/>
      <c r="B802" s="30"/>
      <c r="C802" s="30"/>
      <c r="D802" s="7"/>
      <c r="E802" s="7"/>
      <c r="F802" s="7"/>
      <c r="G802" s="30"/>
      <c r="H802" s="7"/>
      <c r="I802" s="8"/>
    </row>
    <row x14ac:dyDescent="0.25" r="803" customHeight="1" ht="14.25">
      <c r="A803" s="30"/>
      <c r="B803" s="30"/>
      <c r="C803" s="30"/>
      <c r="D803" s="7"/>
      <c r="E803" s="7"/>
      <c r="F803" s="7"/>
      <c r="G803" s="30"/>
      <c r="H803" s="7"/>
      <c r="I803" s="8"/>
    </row>
    <row x14ac:dyDescent="0.25" r="804" customHeight="1" ht="14.25">
      <c r="A804" s="30"/>
      <c r="B804" s="30"/>
      <c r="C804" s="30"/>
      <c r="D804" s="7"/>
      <c r="E804" s="7"/>
      <c r="F804" s="7"/>
      <c r="G804" s="30"/>
      <c r="H804" s="7"/>
      <c r="I804" s="8"/>
    </row>
    <row x14ac:dyDescent="0.25" r="805" customHeight="1" ht="14.25">
      <c r="A805" s="30"/>
      <c r="B805" s="30"/>
      <c r="C805" s="30"/>
      <c r="D805" s="7"/>
      <c r="E805" s="7"/>
      <c r="F805" s="7"/>
      <c r="G805" s="30"/>
      <c r="H805" s="7"/>
      <c r="I805" s="8"/>
    </row>
    <row x14ac:dyDescent="0.25" r="806" customHeight="1" ht="14.25">
      <c r="A806" s="30"/>
      <c r="B806" s="30"/>
      <c r="C806" s="30"/>
      <c r="D806" s="7"/>
      <c r="E806" s="7"/>
      <c r="F806" s="7"/>
      <c r="G806" s="30"/>
      <c r="H806" s="7"/>
      <c r="I806" s="8"/>
    </row>
    <row x14ac:dyDescent="0.25" r="807" customHeight="1" ht="14.25">
      <c r="A807" s="30"/>
      <c r="B807" s="30"/>
      <c r="C807" s="30"/>
      <c r="D807" s="7"/>
      <c r="E807" s="7"/>
      <c r="F807" s="7"/>
      <c r="G807" s="30"/>
      <c r="H807" s="7"/>
      <c r="I807" s="8"/>
    </row>
    <row x14ac:dyDescent="0.25" r="808" customHeight="1" ht="14.25">
      <c r="A808" s="30"/>
      <c r="B808" s="30"/>
      <c r="C808" s="30"/>
      <c r="D808" s="7"/>
      <c r="E808" s="7"/>
      <c r="F808" s="7"/>
      <c r="G808" s="30"/>
      <c r="H808" s="7"/>
      <c r="I808" s="8"/>
    </row>
    <row x14ac:dyDescent="0.25" r="809" customHeight="1" ht="14.25">
      <c r="A809" s="30"/>
      <c r="B809" s="30"/>
      <c r="C809" s="30"/>
      <c r="D809" s="7"/>
      <c r="E809" s="7"/>
      <c r="F809" s="7"/>
      <c r="G809" s="30"/>
      <c r="H809" s="7"/>
      <c r="I809" s="8"/>
    </row>
    <row x14ac:dyDescent="0.25" r="810" customHeight="1" ht="14.25">
      <c r="A810" s="30"/>
      <c r="B810" s="30"/>
      <c r="C810" s="30"/>
      <c r="D810" s="7"/>
      <c r="E810" s="7"/>
      <c r="F810" s="7"/>
      <c r="G810" s="30"/>
      <c r="H810" s="7"/>
      <c r="I810" s="8"/>
    </row>
    <row x14ac:dyDescent="0.25" r="811" customHeight="1" ht="14.25">
      <c r="A811" s="30"/>
      <c r="B811" s="30"/>
      <c r="C811" s="30"/>
      <c r="D811" s="7"/>
      <c r="E811" s="7"/>
      <c r="F811" s="7"/>
      <c r="G811" s="30"/>
      <c r="H811" s="7"/>
      <c r="I811" s="8"/>
    </row>
    <row x14ac:dyDescent="0.25" r="812" customHeight="1" ht="14.25">
      <c r="A812" s="30"/>
      <c r="B812" s="30"/>
      <c r="C812" s="30"/>
      <c r="D812" s="7"/>
      <c r="E812" s="7"/>
      <c r="F812" s="7"/>
      <c r="G812" s="30"/>
      <c r="H812" s="7"/>
      <c r="I812" s="8"/>
    </row>
    <row x14ac:dyDescent="0.25" r="813" customHeight="1" ht="14.25">
      <c r="A813" s="30"/>
      <c r="B813" s="30"/>
      <c r="C813" s="30"/>
      <c r="D813" s="7"/>
      <c r="E813" s="7"/>
      <c r="F813" s="7"/>
      <c r="G813" s="30"/>
      <c r="H813" s="7"/>
      <c r="I813" s="8"/>
    </row>
    <row x14ac:dyDescent="0.25" r="814" customHeight="1" ht="14.25">
      <c r="A814" s="30"/>
      <c r="B814" s="30"/>
      <c r="C814" s="30"/>
      <c r="D814" s="7"/>
      <c r="E814" s="7"/>
      <c r="F814" s="7"/>
      <c r="G814" s="30"/>
      <c r="H814" s="7"/>
      <c r="I814" s="8"/>
    </row>
    <row x14ac:dyDescent="0.25" r="815" customHeight="1" ht="14.25">
      <c r="A815" s="30"/>
      <c r="B815" s="30"/>
      <c r="C815" s="30"/>
      <c r="D815" s="7"/>
      <c r="E815" s="7"/>
      <c r="F815" s="7"/>
      <c r="G815" s="30"/>
      <c r="H815" s="7"/>
      <c r="I815" s="8"/>
    </row>
    <row x14ac:dyDescent="0.25" r="816" customHeight="1" ht="14.25">
      <c r="A816" s="30"/>
      <c r="B816" s="30"/>
      <c r="C816" s="30"/>
      <c r="D816" s="7"/>
      <c r="E816" s="7"/>
      <c r="F816" s="7"/>
      <c r="G816" s="30"/>
      <c r="H816" s="7"/>
      <c r="I816" s="8"/>
    </row>
    <row x14ac:dyDescent="0.25" r="817" customHeight="1" ht="14.25">
      <c r="A817" s="30"/>
      <c r="B817" s="30"/>
      <c r="C817" s="30"/>
      <c r="D817" s="7"/>
      <c r="E817" s="7"/>
      <c r="F817" s="7"/>
      <c r="G817" s="30"/>
      <c r="H817" s="7"/>
      <c r="I817" s="8"/>
    </row>
    <row x14ac:dyDescent="0.25" r="818" customHeight="1" ht="14.25">
      <c r="A818" s="30"/>
      <c r="B818" s="30"/>
      <c r="C818" s="30"/>
      <c r="D818" s="7"/>
      <c r="E818" s="7"/>
      <c r="F818" s="7"/>
      <c r="G818" s="30"/>
      <c r="H818" s="7"/>
      <c r="I818" s="8"/>
    </row>
    <row x14ac:dyDescent="0.25" r="819" customHeight="1" ht="14.25">
      <c r="A819" s="30"/>
      <c r="B819" s="30"/>
      <c r="C819" s="30"/>
      <c r="D819" s="7"/>
      <c r="E819" s="7"/>
      <c r="F819" s="7"/>
      <c r="G819" s="30"/>
      <c r="H819" s="7"/>
      <c r="I819" s="8"/>
    </row>
    <row x14ac:dyDescent="0.25" r="820" customHeight="1" ht="14.25">
      <c r="A820" s="30"/>
      <c r="B820" s="30"/>
      <c r="C820" s="30"/>
      <c r="D820" s="7"/>
      <c r="E820" s="7"/>
      <c r="F820" s="7"/>
      <c r="G820" s="30"/>
      <c r="H820" s="7"/>
      <c r="I820" s="8"/>
    </row>
    <row x14ac:dyDescent="0.25" r="821" customHeight="1" ht="14.25">
      <c r="A821" s="30"/>
      <c r="B821" s="30"/>
      <c r="C821" s="30"/>
      <c r="D821" s="7"/>
      <c r="E821" s="7"/>
      <c r="F821" s="7"/>
      <c r="G821" s="30"/>
      <c r="H821" s="7"/>
      <c r="I821" s="8"/>
    </row>
    <row x14ac:dyDescent="0.25" r="822" customHeight="1" ht="14.25">
      <c r="A822" s="30"/>
      <c r="B822" s="30"/>
      <c r="C822" s="30"/>
      <c r="D822" s="7"/>
      <c r="E822" s="7"/>
      <c r="F822" s="7"/>
      <c r="G822" s="30"/>
      <c r="H822" s="7"/>
      <c r="I822" s="8"/>
    </row>
    <row x14ac:dyDescent="0.25" r="823" customHeight="1" ht="14.25">
      <c r="A823" s="30"/>
      <c r="B823" s="30"/>
      <c r="C823" s="30"/>
      <c r="D823" s="7"/>
      <c r="E823" s="7"/>
      <c r="F823" s="7"/>
      <c r="G823" s="30"/>
      <c r="H823" s="7"/>
      <c r="I823" s="8"/>
    </row>
    <row x14ac:dyDescent="0.25" r="824" customHeight="1" ht="14.25">
      <c r="A824" s="30"/>
      <c r="B824" s="30"/>
      <c r="C824" s="30"/>
      <c r="D824" s="7"/>
      <c r="E824" s="7"/>
      <c r="F824" s="7"/>
      <c r="G824" s="30"/>
      <c r="H824" s="7"/>
      <c r="I824" s="8"/>
    </row>
    <row x14ac:dyDescent="0.25" r="825" customHeight="1" ht="14.25">
      <c r="A825" s="30"/>
      <c r="B825" s="30"/>
      <c r="C825" s="30"/>
      <c r="D825" s="7"/>
      <c r="E825" s="7"/>
      <c r="F825" s="7"/>
      <c r="G825" s="30"/>
      <c r="H825" s="7"/>
      <c r="I825" s="8"/>
    </row>
    <row x14ac:dyDescent="0.25" r="826" customHeight="1" ht="14.25">
      <c r="A826" s="30"/>
      <c r="B826" s="30"/>
      <c r="C826" s="30"/>
      <c r="D826" s="7"/>
      <c r="E826" s="7"/>
      <c r="F826" s="7"/>
      <c r="G826" s="30"/>
      <c r="H826" s="7"/>
      <c r="I826" s="8"/>
    </row>
    <row x14ac:dyDescent="0.25" r="827" customHeight="1" ht="14.25">
      <c r="A827" s="30"/>
      <c r="B827" s="30"/>
      <c r="C827" s="30"/>
      <c r="D827" s="7"/>
      <c r="E827" s="7"/>
      <c r="F827" s="7"/>
      <c r="G827" s="30"/>
      <c r="H827" s="7"/>
      <c r="I827" s="8"/>
    </row>
    <row x14ac:dyDescent="0.25" r="828" customHeight="1" ht="14.25">
      <c r="A828" s="30"/>
      <c r="B828" s="30"/>
      <c r="C828" s="30"/>
      <c r="D828" s="7"/>
      <c r="E828" s="7"/>
      <c r="F828" s="7"/>
      <c r="G828" s="30"/>
      <c r="H828" s="7"/>
      <c r="I828" s="8"/>
    </row>
    <row x14ac:dyDescent="0.25" r="829" customHeight="1" ht="14.25">
      <c r="A829" s="30"/>
      <c r="B829" s="30"/>
      <c r="C829" s="30"/>
      <c r="D829" s="7"/>
      <c r="E829" s="7"/>
      <c r="F829" s="7"/>
      <c r="G829" s="30"/>
      <c r="H829" s="7"/>
      <c r="I829" s="8"/>
    </row>
    <row x14ac:dyDescent="0.25" r="830" customHeight="1" ht="14.25">
      <c r="A830" s="30"/>
      <c r="B830" s="30"/>
      <c r="C830" s="30"/>
      <c r="D830" s="7"/>
      <c r="E830" s="7"/>
      <c r="F830" s="7"/>
      <c r="G830" s="30"/>
      <c r="H830" s="7"/>
      <c r="I830" s="8"/>
    </row>
    <row x14ac:dyDescent="0.25" r="831" customHeight="1" ht="14.25">
      <c r="A831" s="30"/>
      <c r="B831" s="30"/>
      <c r="C831" s="30"/>
      <c r="D831" s="7"/>
      <c r="E831" s="7"/>
      <c r="F831" s="7"/>
      <c r="G831" s="30"/>
      <c r="H831" s="7"/>
      <c r="I831" s="8"/>
    </row>
    <row x14ac:dyDescent="0.25" r="832" customHeight="1" ht="14.25">
      <c r="A832" s="30"/>
      <c r="B832" s="30"/>
      <c r="C832" s="30"/>
      <c r="D832" s="7"/>
      <c r="E832" s="7"/>
      <c r="F832" s="7"/>
      <c r="G832" s="30"/>
      <c r="H832" s="7"/>
      <c r="I832" s="8"/>
    </row>
    <row x14ac:dyDescent="0.25" r="833" customHeight="1" ht="14.25">
      <c r="A833" s="30"/>
      <c r="B833" s="30"/>
      <c r="C833" s="30"/>
      <c r="D833" s="7"/>
      <c r="E833" s="7"/>
      <c r="F833" s="7"/>
      <c r="G833" s="30"/>
      <c r="H833" s="7"/>
      <c r="I833" s="8"/>
    </row>
    <row x14ac:dyDescent="0.25" r="834" customHeight="1" ht="14.25">
      <c r="A834" s="30"/>
      <c r="B834" s="30"/>
      <c r="C834" s="30"/>
      <c r="D834" s="7"/>
      <c r="E834" s="7"/>
      <c r="F834" s="7"/>
      <c r="G834" s="30"/>
      <c r="H834" s="7"/>
      <c r="I834" s="8"/>
    </row>
    <row x14ac:dyDescent="0.25" r="835" customHeight="1" ht="14.25">
      <c r="A835" s="30"/>
      <c r="B835" s="30"/>
      <c r="C835" s="30"/>
      <c r="D835" s="7"/>
      <c r="E835" s="7"/>
      <c r="F835" s="7"/>
      <c r="G835" s="30"/>
      <c r="H835" s="7"/>
      <c r="I835" s="8"/>
    </row>
    <row x14ac:dyDescent="0.25" r="836" customHeight="1" ht="14.25">
      <c r="A836" s="30"/>
      <c r="B836" s="30"/>
      <c r="C836" s="30"/>
      <c r="D836" s="7"/>
      <c r="E836" s="7"/>
      <c r="F836" s="7"/>
      <c r="G836" s="30"/>
      <c r="H836" s="7"/>
      <c r="I836" s="8"/>
    </row>
    <row x14ac:dyDescent="0.25" r="837" customHeight="1" ht="14.25">
      <c r="A837" s="30"/>
      <c r="B837" s="30"/>
      <c r="C837" s="30"/>
      <c r="D837" s="7"/>
      <c r="E837" s="7"/>
      <c r="F837" s="7"/>
      <c r="G837" s="30"/>
      <c r="H837" s="7"/>
      <c r="I837" s="8"/>
    </row>
    <row x14ac:dyDescent="0.25" r="838" customHeight="1" ht="14.25">
      <c r="A838" s="30"/>
      <c r="B838" s="30"/>
      <c r="C838" s="30"/>
      <c r="D838" s="7"/>
      <c r="E838" s="7"/>
      <c r="F838" s="7"/>
      <c r="G838" s="30"/>
      <c r="H838" s="7"/>
      <c r="I838" s="8"/>
    </row>
    <row x14ac:dyDescent="0.25" r="839" customHeight="1" ht="14.25">
      <c r="A839" s="30"/>
      <c r="B839" s="30"/>
      <c r="C839" s="30"/>
      <c r="D839" s="7"/>
      <c r="E839" s="7"/>
      <c r="F839" s="7"/>
      <c r="G839" s="30"/>
      <c r="H839" s="7"/>
      <c r="I839" s="8"/>
    </row>
    <row x14ac:dyDescent="0.25" r="840" customHeight="1" ht="14.25">
      <c r="A840" s="30"/>
      <c r="B840" s="30"/>
      <c r="C840" s="30"/>
      <c r="D840" s="7"/>
      <c r="E840" s="7"/>
      <c r="F840" s="7"/>
      <c r="G840" s="30"/>
      <c r="H840" s="7"/>
      <c r="I840" s="8"/>
    </row>
    <row x14ac:dyDescent="0.25" r="841" customHeight="1" ht="14.25">
      <c r="A841" s="30"/>
      <c r="B841" s="30"/>
      <c r="C841" s="30"/>
      <c r="D841" s="7"/>
      <c r="E841" s="7"/>
      <c r="F841" s="7"/>
      <c r="G841" s="30"/>
      <c r="H841" s="7"/>
      <c r="I841" s="8"/>
    </row>
    <row x14ac:dyDescent="0.25" r="842" customHeight="1" ht="14.25">
      <c r="A842" s="30"/>
      <c r="B842" s="30"/>
      <c r="C842" s="30"/>
      <c r="D842" s="7"/>
      <c r="E842" s="7"/>
      <c r="F842" s="7"/>
      <c r="G842" s="30"/>
      <c r="H842" s="7"/>
      <c r="I842" s="8"/>
    </row>
    <row x14ac:dyDescent="0.25" r="843" customHeight="1" ht="14.25">
      <c r="A843" s="30"/>
      <c r="B843" s="30"/>
      <c r="C843" s="30"/>
      <c r="D843" s="7"/>
      <c r="E843" s="7"/>
      <c r="F843" s="7"/>
      <c r="G843" s="30"/>
      <c r="H843" s="7"/>
      <c r="I843" s="8"/>
    </row>
    <row x14ac:dyDescent="0.25" r="844" customHeight="1" ht="14.25">
      <c r="A844" s="30"/>
      <c r="B844" s="30"/>
      <c r="C844" s="30"/>
      <c r="D844" s="7"/>
      <c r="E844" s="7"/>
      <c r="F844" s="7"/>
      <c r="G844" s="30"/>
      <c r="H844" s="7"/>
      <c r="I844" s="8"/>
    </row>
    <row x14ac:dyDescent="0.25" r="845" customHeight="1" ht="14.25">
      <c r="A845" s="30"/>
      <c r="B845" s="30"/>
      <c r="C845" s="30"/>
      <c r="D845" s="7"/>
      <c r="E845" s="7"/>
      <c r="F845" s="7"/>
      <c r="G845" s="30"/>
      <c r="H845" s="7"/>
      <c r="I845" s="8"/>
    </row>
    <row x14ac:dyDescent="0.25" r="846" customHeight="1" ht="14.25">
      <c r="A846" s="30"/>
      <c r="B846" s="30"/>
      <c r="C846" s="30"/>
      <c r="D846" s="7"/>
      <c r="E846" s="7"/>
      <c r="F846" s="7"/>
      <c r="G846" s="30"/>
      <c r="H846" s="7"/>
      <c r="I846" s="8"/>
    </row>
    <row x14ac:dyDescent="0.25" r="847" customHeight="1" ht="14.25">
      <c r="A847" s="30"/>
      <c r="B847" s="30"/>
      <c r="C847" s="30"/>
      <c r="D847" s="7"/>
      <c r="E847" s="7"/>
      <c r="F847" s="7"/>
      <c r="G847" s="30"/>
      <c r="H847" s="7"/>
      <c r="I847" s="8"/>
    </row>
    <row x14ac:dyDescent="0.25" r="848" customHeight="1" ht="14.25">
      <c r="A848" s="30"/>
      <c r="B848" s="30"/>
      <c r="C848" s="30"/>
      <c r="D848" s="7"/>
      <c r="E848" s="7"/>
      <c r="F848" s="7"/>
      <c r="G848" s="30"/>
      <c r="H848" s="7"/>
      <c r="I848" s="8"/>
    </row>
    <row x14ac:dyDescent="0.25" r="849" customHeight="1" ht="14.25">
      <c r="A849" s="30"/>
      <c r="B849" s="30"/>
      <c r="C849" s="30"/>
      <c r="D849" s="7"/>
      <c r="E849" s="7"/>
      <c r="F849" s="7"/>
      <c r="G849" s="30"/>
      <c r="H849" s="7"/>
      <c r="I849" s="8"/>
    </row>
    <row x14ac:dyDescent="0.25" r="850" customHeight="1" ht="14.25">
      <c r="A850" s="30"/>
      <c r="B850" s="30"/>
      <c r="C850" s="30"/>
      <c r="D850" s="7"/>
      <c r="E850" s="7"/>
      <c r="F850" s="7"/>
      <c r="G850" s="30"/>
      <c r="H850" s="7"/>
      <c r="I850" s="8"/>
    </row>
    <row x14ac:dyDescent="0.25" r="851" customHeight="1" ht="14.25">
      <c r="A851" s="30"/>
      <c r="B851" s="30"/>
      <c r="C851" s="30"/>
      <c r="D851" s="7"/>
      <c r="E851" s="7"/>
      <c r="F851" s="7"/>
      <c r="G851" s="30"/>
      <c r="H851" s="7"/>
      <c r="I851" s="8"/>
    </row>
    <row x14ac:dyDescent="0.25" r="852" customHeight="1" ht="14.25">
      <c r="A852" s="30"/>
      <c r="B852" s="30"/>
      <c r="C852" s="30"/>
      <c r="D852" s="7"/>
      <c r="E852" s="7"/>
      <c r="F852" s="7"/>
      <c r="G852" s="30"/>
      <c r="H852" s="7"/>
      <c r="I852" s="8"/>
    </row>
    <row x14ac:dyDescent="0.25" r="853" customHeight="1" ht="14.25">
      <c r="A853" s="30"/>
      <c r="B853" s="30"/>
      <c r="C853" s="30"/>
      <c r="D853" s="7"/>
      <c r="E853" s="7"/>
      <c r="F853" s="7"/>
      <c r="G853" s="30"/>
      <c r="H853" s="7"/>
      <c r="I853" s="8"/>
    </row>
    <row x14ac:dyDescent="0.25" r="854" customHeight="1" ht="14.25">
      <c r="A854" s="30"/>
      <c r="B854" s="30"/>
      <c r="C854" s="30"/>
      <c r="D854" s="7"/>
      <c r="E854" s="7"/>
      <c r="F854" s="7"/>
      <c r="G854" s="30"/>
      <c r="H854" s="7"/>
      <c r="I854" s="8"/>
    </row>
    <row x14ac:dyDescent="0.25" r="855" customHeight="1" ht="14.25">
      <c r="A855" s="30"/>
      <c r="B855" s="30"/>
      <c r="C855" s="30"/>
      <c r="D855" s="7"/>
      <c r="E855" s="7"/>
      <c r="F855" s="7"/>
      <c r="G855" s="30"/>
      <c r="H855" s="7"/>
      <c r="I855" s="8"/>
    </row>
    <row x14ac:dyDescent="0.25" r="856" customHeight="1" ht="14.25">
      <c r="A856" s="30"/>
      <c r="B856" s="30"/>
      <c r="C856" s="30"/>
      <c r="D856" s="7"/>
      <c r="E856" s="7"/>
      <c r="F856" s="7"/>
      <c r="G856" s="30"/>
      <c r="H856" s="7"/>
      <c r="I856" s="8"/>
    </row>
    <row x14ac:dyDescent="0.25" r="857" customHeight="1" ht="14.25">
      <c r="A857" s="30"/>
      <c r="B857" s="30"/>
      <c r="C857" s="30"/>
      <c r="D857" s="7"/>
      <c r="E857" s="7"/>
      <c r="F857" s="7"/>
      <c r="G857" s="30"/>
      <c r="H857" s="7"/>
      <c r="I857" s="8"/>
    </row>
    <row x14ac:dyDescent="0.25" r="858" customHeight="1" ht="14.25">
      <c r="A858" s="30"/>
      <c r="B858" s="30"/>
      <c r="C858" s="30"/>
      <c r="D858" s="7"/>
      <c r="E858" s="7"/>
      <c r="F858" s="7"/>
      <c r="G858" s="30"/>
      <c r="H858" s="7"/>
      <c r="I858" s="8"/>
    </row>
    <row x14ac:dyDescent="0.25" r="859" customHeight="1" ht="14.25">
      <c r="A859" s="30"/>
      <c r="B859" s="30"/>
      <c r="C859" s="30"/>
      <c r="D859" s="7"/>
      <c r="E859" s="7"/>
      <c r="F859" s="7"/>
      <c r="G859" s="30"/>
      <c r="H859" s="7"/>
      <c r="I859" s="8"/>
    </row>
    <row x14ac:dyDescent="0.25" r="860" customHeight="1" ht="14.25">
      <c r="A860" s="30"/>
      <c r="B860" s="30"/>
      <c r="C860" s="30"/>
      <c r="D860" s="7"/>
      <c r="E860" s="7"/>
      <c r="F860" s="7"/>
      <c r="G860" s="30"/>
      <c r="H860" s="7"/>
      <c r="I860" s="8"/>
    </row>
    <row x14ac:dyDescent="0.25" r="861" customHeight="1" ht="14.25">
      <c r="A861" s="30"/>
      <c r="B861" s="30"/>
      <c r="C861" s="30"/>
      <c r="D861" s="7"/>
      <c r="E861" s="7"/>
      <c r="F861" s="7"/>
      <c r="G861" s="30"/>
      <c r="H861" s="7"/>
      <c r="I861" s="8"/>
    </row>
    <row x14ac:dyDescent="0.25" r="862" customHeight="1" ht="14.25">
      <c r="A862" s="30"/>
      <c r="B862" s="30"/>
      <c r="C862" s="30"/>
      <c r="D862" s="7"/>
      <c r="E862" s="7"/>
      <c r="F862" s="7"/>
      <c r="G862" s="30"/>
      <c r="H862" s="7"/>
      <c r="I862" s="8"/>
    </row>
    <row x14ac:dyDescent="0.25" r="863" customHeight="1" ht="14.25">
      <c r="A863" s="30"/>
      <c r="B863" s="30"/>
      <c r="C863" s="30"/>
      <c r="D863" s="7"/>
      <c r="E863" s="7"/>
      <c r="F863" s="7"/>
      <c r="G863" s="30"/>
      <c r="H863" s="7"/>
      <c r="I863" s="8"/>
    </row>
    <row x14ac:dyDescent="0.25" r="864" customHeight="1" ht="14.25">
      <c r="A864" s="30"/>
      <c r="B864" s="30"/>
      <c r="C864" s="30"/>
      <c r="D864" s="7"/>
      <c r="E864" s="7"/>
      <c r="F864" s="7"/>
      <c r="G864" s="30"/>
      <c r="H864" s="7"/>
      <c r="I864" s="8"/>
    </row>
    <row x14ac:dyDescent="0.25" r="865" customHeight="1" ht="14.25">
      <c r="A865" s="30"/>
      <c r="B865" s="30"/>
      <c r="C865" s="30"/>
      <c r="D865" s="7"/>
      <c r="E865" s="7"/>
      <c r="F865" s="7"/>
      <c r="G865" s="30"/>
      <c r="H865" s="7"/>
      <c r="I865" s="8"/>
    </row>
    <row x14ac:dyDescent="0.25" r="866" customHeight="1" ht="14.25">
      <c r="A866" s="30"/>
      <c r="B866" s="30"/>
      <c r="C866" s="30"/>
      <c r="D866" s="7"/>
      <c r="E866" s="7"/>
      <c r="F866" s="7"/>
      <c r="G866" s="30"/>
      <c r="H866" s="7"/>
      <c r="I866" s="8"/>
    </row>
    <row x14ac:dyDescent="0.25" r="867" customHeight="1" ht="14.25">
      <c r="A867" s="30"/>
      <c r="B867" s="30"/>
      <c r="C867" s="30"/>
      <c r="D867" s="7"/>
      <c r="E867" s="7"/>
      <c r="F867" s="7"/>
      <c r="G867" s="30"/>
      <c r="H867" s="7"/>
      <c r="I867" s="8"/>
    </row>
    <row x14ac:dyDescent="0.25" r="868" customHeight="1" ht="14.25">
      <c r="A868" s="30"/>
      <c r="B868" s="30"/>
      <c r="C868" s="30"/>
      <c r="D868" s="7"/>
      <c r="E868" s="7"/>
      <c r="F868" s="7"/>
      <c r="G868" s="30"/>
      <c r="H868" s="7"/>
      <c r="I868" s="8"/>
    </row>
    <row x14ac:dyDescent="0.25" r="869" customHeight="1" ht="14.25">
      <c r="A869" s="30"/>
      <c r="B869" s="30"/>
      <c r="C869" s="30"/>
      <c r="D869" s="7"/>
      <c r="E869" s="7"/>
      <c r="F869" s="7"/>
      <c r="G869" s="30"/>
      <c r="H869" s="7"/>
      <c r="I869" s="8"/>
    </row>
    <row x14ac:dyDescent="0.25" r="870" customHeight="1" ht="14.25">
      <c r="A870" s="30"/>
      <c r="B870" s="30"/>
      <c r="C870" s="30"/>
      <c r="D870" s="7"/>
      <c r="E870" s="7"/>
      <c r="F870" s="7"/>
      <c r="G870" s="30"/>
      <c r="H870" s="7"/>
      <c r="I870" s="8"/>
    </row>
    <row x14ac:dyDescent="0.25" r="871" customHeight="1" ht="14.25">
      <c r="A871" s="30"/>
      <c r="B871" s="30"/>
      <c r="C871" s="30"/>
      <c r="D871" s="7"/>
      <c r="E871" s="7"/>
      <c r="F871" s="7"/>
      <c r="G871" s="30"/>
      <c r="H871" s="7"/>
      <c r="I871" s="8"/>
    </row>
    <row x14ac:dyDescent="0.25" r="872" customHeight="1" ht="14.25">
      <c r="A872" s="30"/>
      <c r="B872" s="30"/>
      <c r="C872" s="30"/>
      <c r="D872" s="7"/>
      <c r="E872" s="7"/>
      <c r="F872" s="7"/>
      <c r="G872" s="30"/>
      <c r="H872" s="7"/>
      <c r="I872" s="8"/>
    </row>
    <row x14ac:dyDescent="0.25" r="873" customHeight="1" ht="14.25">
      <c r="A873" s="30"/>
      <c r="B873" s="30"/>
      <c r="C873" s="30"/>
      <c r="D873" s="7"/>
      <c r="E873" s="7"/>
      <c r="F873" s="7"/>
      <c r="G873" s="30"/>
      <c r="H873" s="7"/>
      <c r="I873" s="8"/>
    </row>
    <row x14ac:dyDescent="0.25" r="874" customHeight="1" ht="14.25">
      <c r="A874" s="30"/>
      <c r="B874" s="30"/>
      <c r="C874" s="30"/>
      <c r="D874" s="7"/>
      <c r="E874" s="7"/>
      <c r="F874" s="7"/>
      <c r="G874" s="30"/>
      <c r="H874" s="7"/>
      <c r="I874" s="8"/>
    </row>
    <row x14ac:dyDescent="0.25" r="875" customHeight="1" ht="14.25">
      <c r="A875" s="30"/>
      <c r="B875" s="30"/>
      <c r="C875" s="30"/>
      <c r="D875" s="7"/>
      <c r="E875" s="7"/>
      <c r="F875" s="7"/>
      <c r="G875" s="30"/>
      <c r="H875" s="7"/>
      <c r="I875" s="8"/>
    </row>
    <row x14ac:dyDescent="0.25" r="876" customHeight="1" ht="14.25">
      <c r="A876" s="30"/>
      <c r="B876" s="30"/>
      <c r="C876" s="30"/>
      <c r="D876" s="7"/>
      <c r="E876" s="7"/>
      <c r="F876" s="7"/>
      <c r="G876" s="30"/>
      <c r="H876" s="7"/>
      <c r="I876" s="8"/>
    </row>
    <row x14ac:dyDescent="0.25" r="877" customHeight="1" ht="14.25">
      <c r="A877" s="30"/>
      <c r="B877" s="30"/>
      <c r="C877" s="30"/>
      <c r="D877" s="7"/>
      <c r="E877" s="7"/>
      <c r="F877" s="7"/>
      <c r="G877" s="30"/>
      <c r="H877" s="7"/>
      <c r="I877" s="8"/>
    </row>
    <row x14ac:dyDescent="0.25" r="878" customHeight="1" ht="14.25">
      <c r="A878" s="30"/>
      <c r="B878" s="30"/>
      <c r="C878" s="30"/>
      <c r="D878" s="7"/>
      <c r="E878" s="7"/>
      <c r="F878" s="7"/>
      <c r="G878" s="30"/>
      <c r="H878" s="7"/>
      <c r="I878" s="8"/>
    </row>
    <row x14ac:dyDescent="0.25" r="879" customHeight="1" ht="14.25">
      <c r="A879" s="30"/>
      <c r="B879" s="30"/>
      <c r="C879" s="30"/>
      <c r="D879" s="7"/>
      <c r="E879" s="7"/>
      <c r="F879" s="7"/>
      <c r="G879" s="30"/>
      <c r="H879" s="7"/>
      <c r="I879" s="8"/>
    </row>
    <row x14ac:dyDescent="0.25" r="880" customHeight="1" ht="14.25">
      <c r="A880" s="30"/>
      <c r="B880" s="30"/>
      <c r="C880" s="30"/>
      <c r="D880" s="7"/>
      <c r="E880" s="7"/>
      <c r="F880" s="7"/>
      <c r="G880" s="30"/>
      <c r="H880" s="7"/>
      <c r="I880" s="8"/>
    </row>
    <row x14ac:dyDescent="0.25" r="881" customHeight="1" ht="14.25">
      <c r="A881" s="30"/>
      <c r="B881" s="30"/>
      <c r="C881" s="30"/>
      <c r="D881" s="7"/>
      <c r="E881" s="7"/>
      <c r="F881" s="7"/>
      <c r="G881" s="30"/>
      <c r="H881" s="7"/>
      <c r="I881" s="8"/>
    </row>
    <row x14ac:dyDescent="0.25" r="882" customHeight="1" ht="14.25">
      <c r="A882" s="30"/>
      <c r="B882" s="30"/>
      <c r="C882" s="30"/>
      <c r="D882" s="7"/>
      <c r="E882" s="7"/>
      <c r="F882" s="7"/>
      <c r="G882" s="30"/>
      <c r="H882" s="7"/>
      <c r="I882" s="8"/>
    </row>
    <row x14ac:dyDescent="0.25" r="883" customHeight="1" ht="14.25">
      <c r="A883" s="30"/>
      <c r="B883" s="30"/>
      <c r="C883" s="30"/>
      <c r="D883" s="7"/>
      <c r="E883" s="7"/>
      <c r="F883" s="7"/>
      <c r="G883" s="30"/>
      <c r="H883" s="7"/>
      <c r="I883" s="8"/>
    </row>
    <row x14ac:dyDescent="0.25" r="884" customHeight="1" ht="14.25">
      <c r="A884" s="30"/>
      <c r="B884" s="30"/>
      <c r="C884" s="30"/>
      <c r="D884" s="7"/>
      <c r="E884" s="7"/>
      <c r="F884" s="7"/>
      <c r="G884" s="30"/>
      <c r="H884" s="7"/>
      <c r="I884" s="8"/>
    </row>
    <row x14ac:dyDescent="0.25" r="885" customHeight="1" ht="14.25">
      <c r="A885" s="30"/>
      <c r="B885" s="30"/>
      <c r="C885" s="30"/>
      <c r="D885" s="7"/>
      <c r="E885" s="7"/>
      <c r="F885" s="7"/>
      <c r="G885" s="30"/>
      <c r="H885" s="7"/>
      <c r="I885" s="8"/>
    </row>
    <row x14ac:dyDescent="0.25" r="886" customHeight="1" ht="14.25">
      <c r="A886" s="30"/>
      <c r="B886" s="30"/>
      <c r="C886" s="30"/>
      <c r="D886" s="7"/>
      <c r="E886" s="7"/>
      <c r="F886" s="7"/>
      <c r="G886" s="30"/>
      <c r="H886" s="7"/>
      <c r="I886" s="8"/>
    </row>
    <row x14ac:dyDescent="0.25" r="887" customHeight="1" ht="14.25">
      <c r="A887" s="30"/>
      <c r="B887" s="30"/>
      <c r="C887" s="30"/>
      <c r="D887" s="7"/>
      <c r="E887" s="7"/>
      <c r="F887" s="7"/>
      <c r="G887" s="30"/>
      <c r="H887" s="7"/>
      <c r="I887" s="8"/>
    </row>
    <row x14ac:dyDescent="0.25" r="888" customHeight="1" ht="14.25">
      <c r="A888" s="30"/>
      <c r="B888" s="30"/>
      <c r="C888" s="30"/>
      <c r="D888" s="7"/>
      <c r="E888" s="7"/>
      <c r="F888" s="7"/>
      <c r="G888" s="30"/>
      <c r="H888" s="7"/>
      <c r="I888" s="8"/>
    </row>
    <row x14ac:dyDescent="0.25" r="889" customHeight="1" ht="14.25">
      <c r="A889" s="30"/>
      <c r="B889" s="30"/>
      <c r="C889" s="30"/>
      <c r="D889" s="7"/>
      <c r="E889" s="7"/>
      <c r="F889" s="7"/>
      <c r="G889" s="30"/>
      <c r="H889" s="7"/>
      <c r="I889" s="8"/>
    </row>
    <row x14ac:dyDescent="0.25" r="890" customHeight="1" ht="14.25">
      <c r="A890" s="30"/>
      <c r="B890" s="30"/>
      <c r="C890" s="30"/>
      <c r="D890" s="7"/>
      <c r="E890" s="7"/>
      <c r="F890" s="7"/>
      <c r="G890" s="30"/>
      <c r="H890" s="7"/>
      <c r="I890" s="8"/>
    </row>
    <row x14ac:dyDescent="0.25" r="891" customHeight="1" ht="14.25">
      <c r="A891" s="30"/>
      <c r="B891" s="30"/>
      <c r="C891" s="30"/>
      <c r="D891" s="7"/>
      <c r="E891" s="7"/>
      <c r="F891" s="7"/>
      <c r="G891" s="30"/>
      <c r="H891" s="7"/>
      <c r="I891" s="8"/>
    </row>
    <row x14ac:dyDescent="0.25" r="892" customHeight="1" ht="14.25">
      <c r="A892" s="30"/>
      <c r="B892" s="30"/>
      <c r="C892" s="30"/>
      <c r="D892" s="7"/>
      <c r="E892" s="7"/>
      <c r="F892" s="7"/>
      <c r="G892" s="30"/>
      <c r="H892" s="7"/>
      <c r="I892" s="8"/>
    </row>
    <row x14ac:dyDescent="0.25" r="893" customHeight="1" ht="14.25">
      <c r="A893" s="30"/>
      <c r="B893" s="30"/>
      <c r="C893" s="30"/>
      <c r="D893" s="7"/>
      <c r="E893" s="7"/>
      <c r="F893" s="7"/>
      <c r="G893" s="30"/>
      <c r="H893" s="7"/>
      <c r="I893" s="8"/>
    </row>
    <row x14ac:dyDescent="0.25" r="894" customHeight="1" ht="14.25">
      <c r="A894" s="30"/>
      <c r="B894" s="30"/>
      <c r="C894" s="30"/>
      <c r="D894" s="7"/>
      <c r="E894" s="7"/>
      <c r="F894" s="7"/>
      <c r="G894" s="30"/>
      <c r="H894" s="7"/>
      <c r="I894" s="8"/>
    </row>
    <row x14ac:dyDescent="0.25" r="895" customHeight="1" ht="14.25">
      <c r="A895" s="30"/>
      <c r="B895" s="30"/>
      <c r="C895" s="30"/>
      <c r="D895" s="7"/>
      <c r="E895" s="7"/>
      <c r="F895" s="7"/>
      <c r="G895" s="30"/>
      <c r="H895" s="7"/>
      <c r="I895" s="8"/>
    </row>
    <row x14ac:dyDescent="0.25" r="896" customHeight="1" ht="14.25">
      <c r="A896" s="30"/>
      <c r="B896" s="30"/>
      <c r="C896" s="30"/>
      <c r="D896" s="7"/>
      <c r="E896" s="7"/>
      <c r="F896" s="7"/>
      <c r="G896" s="30"/>
      <c r="H896" s="7"/>
      <c r="I896" s="8"/>
    </row>
    <row x14ac:dyDescent="0.25" r="897" customHeight="1" ht="14.25">
      <c r="A897" s="30"/>
      <c r="B897" s="30"/>
      <c r="C897" s="30"/>
      <c r="D897" s="7"/>
      <c r="E897" s="7"/>
      <c r="F897" s="7"/>
      <c r="G897" s="30"/>
      <c r="H897" s="7"/>
      <c r="I897" s="8"/>
    </row>
    <row x14ac:dyDescent="0.25" r="898" customHeight="1" ht="14.25">
      <c r="A898" s="30"/>
      <c r="B898" s="30"/>
      <c r="C898" s="30"/>
      <c r="D898" s="7"/>
      <c r="E898" s="7"/>
      <c r="F898" s="7"/>
      <c r="G898" s="30"/>
      <c r="H898" s="7"/>
      <c r="I898" s="8"/>
    </row>
    <row x14ac:dyDescent="0.25" r="899" customHeight="1" ht="14.25">
      <c r="A899" s="30"/>
      <c r="B899" s="30"/>
      <c r="C899" s="30"/>
      <c r="D899" s="7"/>
      <c r="E899" s="7"/>
      <c r="F899" s="7"/>
      <c r="G899" s="30"/>
      <c r="H899" s="7"/>
      <c r="I899" s="8"/>
    </row>
    <row x14ac:dyDescent="0.25" r="900" customHeight="1" ht="14.25">
      <c r="A900" s="30"/>
      <c r="B900" s="30"/>
      <c r="C900" s="30"/>
      <c r="D900" s="7"/>
      <c r="E900" s="7"/>
      <c r="F900" s="7"/>
      <c r="G900" s="30"/>
      <c r="H900" s="7"/>
      <c r="I900" s="8"/>
    </row>
    <row x14ac:dyDescent="0.25" r="901" customHeight="1" ht="14.25">
      <c r="A901" s="30"/>
      <c r="B901" s="30"/>
      <c r="C901" s="30"/>
      <c r="D901" s="7"/>
      <c r="E901" s="7"/>
      <c r="F901" s="7"/>
      <c r="G901" s="30"/>
      <c r="H901" s="7"/>
      <c r="I901" s="8"/>
    </row>
    <row x14ac:dyDescent="0.25" r="902" customHeight="1" ht="14.25">
      <c r="A902" s="30"/>
      <c r="B902" s="30"/>
      <c r="C902" s="30"/>
      <c r="D902" s="7"/>
      <c r="E902" s="7"/>
      <c r="F902" s="7"/>
      <c r="G902" s="30"/>
      <c r="H902" s="7"/>
      <c r="I902" s="8"/>
    </row>
    <row x14ac:dyDescent="0.25" r="903" customHeight="1" ht="14.25">
      <c r="A903" s="30"/>
      <c r="B903" s="30"/>
      <c r="C903" s="30"/>
      <c r="D903" s="7"/>
      <c r="E903" s="7"/>
      <c r="F903" s="7"/>
      <c r="G903" s="30"/>
      <c r="H903" s="7"/>
      <c r="I903" s="8"/>
    </row>
    <row x14ac:dyDescent="0.25" r="904" customHeight="1" ht="14.25">
      <c r="A904" s="30"/>
      <c r="B904" s="30"/>
      <c r="C904" s="30"/>
      <c r="D904" s="7"/>
      <c r="E904" s="7"/>
      <c r="F904" s="7"/>
      <c r="G904" s="30"/>
      <c r="H904" s="7"/>
      <c r="I904" s="8"/>
    </row>
    <row x14ac:dyDescent="0.25" r="905" customHeight="1" ht="14.25">
      <c r="A905" s="30"/>
      <c r="B905" s="30"/>
      <c r="C905" s="30"/>
      <c r="D905" s="7"/>
      <c r="E905" s="7"/>
      <c r="F905" s="7"/>
      <c r="G905" s="30"/>
      <c r="H905" s="7"/>
      <c r="I905" s="8"/>
    </row>
    <row x14ac:dyDescent="0.25" r="906" customHeight="1" ht="14.25">
      <c r="A906" s="30"/>
      <c r="B906" s="30"/>
      <c r="C906" s="30"/>
      <c r="D906" s="7"/>
      <c r="E906" s="7"/>
      <c r="F906" s="7"/>
      <c r="G906" s="30"/>
      <c r="H906" s="7"/>
      <c r="I906" s="8"/>
    </row>
    <row x14ac:dyDescent="0.25" r="907" customHeight="1" ht="14.25">
      <c r="A907" s="30"/>
      <c r="B907" s="30"/>
      <c r="C907" s="30"/>
      <c r="D907" s="7"/>
      <c r="E907" s="7"/>
      <c r="F907" s="7"/>
      <c r="G907" s="30"/>
      <c r="H907" s="7"/>
      <c r="I907" s="8"/>
    </row>
    <row x14ac:dyDescent="0.25" r="908" customHeight="1" ht="14.25">
      <c r="A908" s="30"/>
      <c r="B908" s="30"/>
      <c r="C908" s="30"/>
      <c r="D908" s="7"/>
      <c r="E908" s="7"/>
      <c r="F908" s="7"/>
      <c r="G908" s="30"/>
      <c r="H908" s="7"/>
      <c r="I908" s="8"/>
    </row>
    <row x14ac:dyDescent="0.25" r="909" customHeight="1" ht="14.25">
      <c r="A909" s="30"/>
      <c r="B909" s="30"/>
      <c r="C909" s="30"/>
      <c r="D909" s="7"/>
      <c r="E909" s="7"/>
      <c r="F909" s="7"/>
      <c r="G909" s="30"/>
      <c r="H909" s="7"/>
      <c r="I909" s="8"/>
    </row>
    <row x14ac:dyDescent="0.25" r="910" customHeight="1" ht="14.25">
      <c r="A910" s="30"/>
      <c r="B910" s="30"/>
      <c r="C910" s="30"/>
      <c r="D910" s="7"/>
      <c r="E910" s="7"/>
      <c r="F910" s="7"/>
      <c r="G910" s="30"/>
      <c r="H910" s="7"/>
      <c r="I910" s="8"/>
    </row>
    <row x14ac:dyDescent="0.25" r="911" customHeight="1" ht="14.25">
      <c r="A911" s="30"/>
      <c r="B911" s="30"/>
      <c r="C911" s="30"/>
      <c r="D911" s="7"/>
      <c r="E911" s="7"/>
      <c r="F911" s="7"/>
      <c r="G911" s="30"/>
      <c r="H911" s="7"/>
      <c r="I911" s="8"/>
    </row>
    <row x14ac:dyDescent="0.25" r="912" customHeight="1" ht="14.25">
      <c r="A912" s="30"/>
      <c r="B912" s="30"/>
      <c r="C912" s="30"/>
      <c r="D912" s="7"/>
      <c r="E912" s="7"/>
      <c r="F912" s="7"/>
      <c r="G912" s="30"/>
      <c r="H912" s="7"/>
      <c r="I912" s="8"/>
    </row>
    <row x14ac:dyDescent="0.25" r="913" customHeight="1" ht="14.25">
      <c r="A913" s="30"/>
      <c r="B913" s="30"/>
      <c r="C913" s="30"/>
      <c r="D913" s="7"/>
      <c r="E913" s="7"/>
      <c r="F913" s="7"/>
      <c r="G913" s="30"/>
      <c r="H913" s="7"/>
      <c r="I913" s="8"/>
    </row>
    <row x14ac:dyDescent="0.25" r="914" customHeight="1" ht="14.25">
      <c r="A914" s="30"/>
      <c r="B914" s="30"/>
      <c r="C914" s="30"/>
      <c r="D914" s="7"/>
      <c r="E914" s="7"/>
      <c r="F914" s="7"/>
      <c r="G914" s="30"/>
      <c r="H914" s="7"/>
      <c r="I914" s="8"/>
    </row>
    <row x14ac:dyDescent="0.25" r="915" customHeight="1" ht="14.25">
      <c r="A915" s="30"/>
      <c r="B915" s="30"/>
      <c r="C915" s="30"/>
      <c r="D915" s="7"/>
      <c r="E915" s="7"/>
      <c r="F915" s="7"/>
      <c r="G915" s="30"/>
      <c r="H915" s="7"/>
      <c r="I915" s="8"/>
    </row>
    <row x14ac:dyDescent="0.25" r="916" customHeight="1" ht="14.25">
      <c r="A916" s="30"/>
      <c r="B916" s="30"/>
      <c r="C916" s="30"/>
      <c r="D916" s="7"/>
      <c r="E916" s="7"/>
      <c r="F916" s="7"/>
      <c r="G916" s="30"/>
      <c r="H916" s="7"/>
      <c r="I916" s="8"/>
    </row>
    <row x14ac:dyDescent="0.25" r="917" customHeight="1" ht="14.25">
      <c r="A917" s="30"/>
      <c r="B917" s="30"/>
      <c r="C917" s="30"/>
      <c r="D917" s="7"/>
      <c r="E917" s="7"/>
      <c r="F917" s="7"/>
      <c r="G917" s="30"/>
      <c r="H917" s="7"/>
      <c r="I917" s="8"/>
    </row>
    <row x14ac:dyDescent="0.25" r="918" customHeight="1" ht="14.25">
      <c r="A918" s="30"/>
      <c r="B918" s="30"/>
      <c r="C918" s="30"/>
      <c r="D918" s="7"/>
      <c r="E918" s="7"/>
      <c r="F918" s="7"/>
      <c r="G918" s="30"/>
      <c r="H918" s="7"/>
      <c r="I918" s="8"/>
    </row>
    <row x14ac:dyDescent="0.25" r="919" customHeight="1" ht="14.25">
      <c r="A919" s="30"/>
      <c r="B919" s="30"/>
      <c r="C919" s="30"/>
      <c r="D919" s="7"/>
      <c r="E919" s="7"/>
      <c r="F919" s="7"/>
      <c r="G919" s="30"/>
      <c r="H919" s="7"/>
      <c r="I919" s="8"/>
    </row>
    <row x14ac:dyDescent="0.25" r="920" customHeight="1" ht="14.25">
      <c r="A920" s="30"/>
      <c r="B920" s="30"/>
      <c r="C920" s="30"/>
      <c r="D920" s="7"/>
      <c r="E920" s="7"/>
      <c r="F920" s="7"/>
      <c r="G920" s="30"/>
      <c r="H920" s="7"/>
      <c r="I920" s="8"/>
    </row>
    <row x14ac:dyDescent="0.25" r="921" customHeight="1" ht="14.25">
      <c r="A921" s="30"/>
      <c r="B921" s="30"/>
      <c r="C921" s="30"/>
      <c r="D921" s="7"/>
      <c r="E921" s="7"/>
      <c r="F921" s="7"/>
      <c r="G921" s="30"/>
      <c r="H921" s="7"/>
      <c r="I921" s="8"/>
    </row>
    <row x14ac:dyDescent="0.25" r="922" customHeight="1" ht="14.25">
      <c r="A922" s="30"/>
      <c r="B922" s="30"/>
      <c r="C922" s="30"/>
      <c r="D922" s="7"/>
      <c r="E922" s="7"/>
      <c r="F922" s="7"/>
      <c r="G922" s="30"/>
      <c r="H922" s="7"/>
      <c r="I922" s="8"/>
    </row>
    <row x14ac:dyDescent="0.25" r="923" customHeight="1" ht="14.25">
      <c r="A923" s="30"/>
      <c r="B923" s="30"/>
      <c r="C923" s="30"/>
      <c r="D923" s="7"/>
      <c r="E923" s="7"/>
      <c r="F923" s="7"/>
      <c r="G923" s="30"/>
      <c r="H923" s="7"/>
      <c r="I923" s="8"/>
    </row>
    <row x14ac:dyDescent="0.25" r="924" customHeight="1" ht="14.25">
      <c r="A924" s="30"/>
      <c r="B924" s="30"/>
      <c r="C924" s="30"/>
      <c r="D924" s="7"/>
      <c r="E924" s="7"/>
      <c r="F924" s="7"/>
      <c r="G924" s="30"/>
      <c r="H924" s="7"/>
      <c r="I924" s="8"/>
    </row>
    <row x14ac:dyDescent="0.25" r="925" customHeight="1" ht="14.25">
      <c r="A925" s="30"/>
      <c r="B925" s="30"/>
      <c r="C925" s="30"/>
      <c r="D925" s="7"/>
      <c r="E925" s="7"/>
      <c r="F925" s="7"/>
      <c r="G925" s="30"/>
      <c r="H925" s="7"/>
      <c r="I925" s="8"/>
    </row>
    <row x14ac:dyDescent="0.25" r="926" customHeight="1" ht="14.25">
      <c r="A926" s="30"/>
      <c r="B926" s="30"/>
      <c r="C926" s="30"/>
      <c r="D926" s="7"/>
      <c r="E926" s="7"/>
      <c r="F926" s="7"/>
      <c r="G926" s="30"/>
      <c r="H926" s="7"/>
      <c r="I926" s="8"/>
    </row>
    <row x14ac:dyDescent="0.25" r="927" customHeight="1" ht="14.25">
      <c r="A927" s="30"/>
      <c r="B927" s="30"/>
      <c r="C927" s="30"/>
      <c r="D927" s="7"/>
      <c r="E927" s="7"/>
      <c r="F927" s="7"/>
      <c r="G927" s="30"/>
      <c r="H927" s="7"/>
      <c r="I927" s="8"/>
    </row>
    <row x14ac:dyDescent="0.25" r="928" customHeight="1" ht="14.25">
      <c r="A928" s="30"/>
      <c r="B928" s="30"/>
      <c r="C928" s="30"/>
      <c r="D928" s="7"/>
      <c r="E928" s="7"/>
      <c r="F928" s="7"/>
      <c r="G928" s="30"/>
      <c r="H928" s="7"/>
      <c r="I928" s="8"/>
    </row>
    <row x14ac:dyDescent="0.25" r="929" customHeight="1" ht="14.25">
      <c r="A929" s="30"/>
      <c r="B929" s="30"/>
      <c r="C929" s="30"/>
      <c r="D929" s="7"/>
      <c r="E929" s="7"/>
      <c r="F929" s="7"/>
      <c r="G929" s="30"/>
      <c r="H929" s="7"/>
      <c r="I929" s="8"/>
    </row>
    <row x14ac:dyDescent="0.25" r="930" customHeight="1" ht="14.25">
      <c r="A930" s="30"/>
      <c r="B930" s="30"/>
      <c r="C930" s="30"/>
      <c r="D930" s="7"/>
      <c r="E930" s="7"/>
      <c r="F930" s="7"/>
      <c r="G930" s="30"/>
      <c r="H930" s="7"/>
      <c r="I930" s="8"/>
    </row>
    <row x14ac:dyDescent="0.25" r="931" customHeight="1" ht="14.25">
      <c r="A931" s="30"/>
      <c r="B931" s="30"/>
      <c r="C931" s="30"/>
      <c r="D931" s="7"/>
      <c r="E931" s="7"/>
      <c r="F931" s="7"/>
      <c r="G931" s="30"/>
      <c r="H931" s="7"/>
      <c r="I931" s="8"/>
    </row>
    <row x14ac:dyDescent="0.25" r="932" customHeight="1" ht="14.25">
      <c r="A932" s="30"/>
      <c r="B932" s="30"/>
      <c r="C932" s="30"/>
      <c r="D932" s="7"/>
      <c r="E932" s="7"/>
      <c r="F932" s="7"/>
      <c r="G932" s="30"/>
      <c r="H932" s="7"/>
      <c r="I932" s="8"/>
    </row>
    <row x14ac:dyDescent="0.25" r="933" customHeight="1" ht="14.25">
      <c r="A933" s="30"/>
      <c r="B933" s="30"/>
      <c r="C933" s="30"/>
      <c r="D933" s="7"/>
      <c r="E933" s="7"/>
      <c r="F933" s="7"/>
      <c r="G933" s="30"/>
      <c r="H933" s="7"/>
      <c r="I933" s="8"/>
    </row>
    <row x14ac:dyDescent="0.25" r="934" customHeight="1" ht="14.25">
      <c r="A934" s="30"/>
      <c r="B934" s="30"/>
      <c r="C934" s="30"/>
      <c r="D934" s="7"/>
      <c r="E934" s="7"/>
      <c r="F934" s="7"/>
      <c r="G934" s="30"/>
      <c r="H934" s="7"/>
      <c r="I934" s="8"/>
    </row>
    <row x14ac:dyDescent="0.25" r="935" customHeight="1" ht="14.25">
      <c r="A935" s="30"/>
      <c r="B935" s="30"/>
      <c r="C935" s="30"/>
      <c r="D935" s="7"/>
      <c r="E935" s="7"/>
      <c r="F935" s="7"/>
      <c r="G935" s="30"/>
      <c r="H935" s="7"/>
      <c r="I935" s="8"/>
    </row>
    <row x14ac:dyDescent="0.25" r="936" customHeight="1" ht="14.25">
      <c r="A936" s="30"/>
      <c r="B936" s="30"/>
      <c r="C936" s="30"/>
      <c r="D936" s="7"/>
      <c r="E936" s="7"/>
      <c r="F936" s="7"/>
      <c r="G936" s="30"/>
      <c r="H936" s="7"/>
      <c r="I936" s="8"/>
    </row>
    <row x14ac:dyDescent="0.25" r="937" customHeight="1" ht="14.25">
      <c r="A937" s="30"/>
      <c r="B937" s="30"/>
      <c r="C937" s="30"/>
      <c r="D937" s="7"/>
      <c r="E937" s="7"/>
      <c r="F937" s="7"/>
      <c r="G937" s="30"/>
      <c r="H937" s="7"/>
      <c r="I937" s="8"/>
    </row>
    <row x14ac:dyDescent="0.25" r="938" customHeight="1" ht="14.25">
      <c r="A938" s="30"/>
      <c r="B938" s="30"/>
      <c r="C938" s="30"/>
      <c r="D938" s="7"/>
      <c r="E938" s="7"/>
      <c r="F938" s="7"/>
      <c r="G938" s="30"/>
      <c r="H938" s="7"/>
      <c r="I938" s="8"/>
    </row>
    <row x14ac:dyDescent="0.25" r="939" customHeight="1" ht="14.25">
      <c r="A939" s="30"/>
      <c r="B939" s="30"/>
      <c r="C939" s="30"/>
      <c r="D939" s="7"/>
      <c r="E939" s="7"/>
      <c r="F939" s="7"/>
      <c r="G939" s="30"/>
      <c r="H939" s="7"/>
      <c r="I939" s="8"/>
    </row>
    <row x14ac:dyDescent="0.25" r="940" customHeight="1" ht="14.25">
      <c r="A940" s="30"/>
      <c r="B940" s="30"/>
      <c r="C940" s="30"/>
      <c r="D940" s="7"/>
      <c r="E940" s="7"/>
      <c r="F940" s="7"/>
      <c r="G940" s="30"/>
      <c r="H940" s="7"/>
      <c r="I940" s="8"/>
    </row>
    <row x14ac:dyDescent="0.25" r="941" customHeight="1" ht="14.25">
      <c r="A941" s="30"/>
      <c r="B941" s="30"/>
      <c r="C941" s="30"/>
      <c r="D941" s="7"/>
      <c r="E941" s="7"/>
      <c r="F941" s="7"/>
      <c r="G941" s="30"/>
      <c r="H941" s="7"/>
      <c r="I941" s="8"/>
    </row>
    <row x14ac:dyDescent="0.25" r="942" customHeight="1" ht="14.25">
      <c r="A942" s="30"/>
      <c r="B942" s="30"/>
      <c r="C942" s="30"/>
      <c r="D942" s="7"/>
      <c r="E942" s="7"/>
      <c r="F942" s="7"/>
      <c r="G942" s="30"/>
      <c r="H942" s="7"/>
      <c r="I942" s="8"/>
    </row>
    <row x14ac:dyDescent="0.25" r="943" customHeight="1" ht="14.25">
      <c r="A943" s="30"/>
      <c r="B943" s="30"/>
      <c r="C943" s="30"/>
      <c r="D943" s="7"/>
      <c r="E943" s="7"/>
      <c r="F943" s="7"/>
      <c r="G943" s="30"/>
      <c r="H943" s="7"/>
      <c r="I943" s="8"/>
    </row>
    <row x14ac:dyDescent="0.25" r="944" customHeight="1" ht="14.25">
      <c r="A944" s="30"/>
      <c r="B944" s="30"/>
      <c r="C944" s="30"/>
      <c r="D944" s="7"/>
      <c r="E944" s="7"/>
      <c r="F944" s="7"/>
      <c r="G944" s="30"/>
      <c r="H944" s="7"/>
      <c r="I944" s="8"/>
    </row>
    <row x14ac:dyDescent="0.25" r="945" customHeight="1" ht="14.25">
      <c r="A945" s="30"/>
      <c r="B945" s="30"/>
      <c r="C945" s="30"/>
      <c r="D945" s="7"/>
      <c r="E945" s="7"/>
      <c r="F945" s="7"/>
      <c r="G945" s="30"/>
      <c r="H945" s="7"/>
      <c r="I945" s="8"/>
    </row>
    <row x14ac:dyDescent="0.25" r="946" customHeight="1" ht="14.25">
      <c r="A946" s="30"/>
      <c r="B946" s="30"/>
      <c r="C946" s="30"/>
      <c r="D946" s="7"/>
      <c r="E946" s="7"/>
      <c r="F946" s="7"/>
      <c r="G946" s="30"/>
      <c r="H946" s="7"/>
      <c r="I946" s="8"/>
    </row>
    <row x14ac:dyDescent="0.25" r="947" customHeight="1" ht="14.25">
      <c r="A947" s="30"/>
      <c r="B947" s="30"/>
      <c r="C947" s="30"/>
      <c r="D947" s="7"/>
      <c r="E947" s="7"/>
      <c r="F947" s="7"/>
      <c r="G947" s="30"/>
      <c r="H947" s="7"/>
      <c r="I947" s="8"/>
    </row>
    <row x14ac:dyDescent="0.25" r="948" customHeight="1" ht="14.25">
      <c r="A948" s="30"/>
      <c r="B948" s="30"/>
      <c r="C948" s="30"/>
      <c r="D948" s="7"/>
      <c r="E948" s="7"/>
      <c r="F948" s="7"/>
      <c r="G948" s="30"/>
      <c r="H948" s="7"/>
      <c r="I948" s="8"/>
    </row>
    <row x14ac:dyDescent="0.25" r="949" customHeight="1" ht="14.25">
      <c r="A949" s="30"/>
      <c r="B949" s="30"/>
      <c r="C949" s="30"/>
      <c r="D949" s="7"/>
      <c r="E949" s="7"/>
      <c r="F949" s="7"/>
      <c r="G949" s="30"/>
      <c r="H949" s="7"/>
      <c r="I949" s="8"/>
    </row>
    <row x14ac:dyDescent="0.25" r="950" customHeight="1" ht="14.25">
      <c r="A950" s="30"/>
      <c r="B950" s="30"/>
      <c r="C950" s="30"/>
      <c r="D950" s="7"/>
      <c r="E950" s="7"/>
      <c r="F950" s="7"/>
      <c r="G950" s="30"/>
      <c r="H950" s="7"/>
      <c r="I950" s="8"/>
    </row>
    <row x14ac:dyDescent="0.25" r="951" customHeight="1" ht="14.25">
      <c r="A951" s="30"/>
      <c r="B951" s="30"/>
      <c r="C951" s="30"/>
      <c r="D951" s="7"/>
      <c r="E951" s="7"/>
      <c r="F951" s="7"/>
      <c r="G951" s="30"/>
      <c r="H951" s="7"/>
      <c r="I951" s="8"/>
    </row>
    <row x14ac:dyDescent="0.25" r="952" customHeight="1" ht="14.25">
      <c r="A952" s="30"/>
      <c r="B952" s="30"/>
      <c r="C952" s="30"/>
      <c r="D952" s="7"/>
      <c r="E952" s="7"/>
      <c r="F952" s="7"/>
      <c r="G952" s="30"/>
      <c r="H952" s="7"/>
      <c r="I952" s="8"/>
    </row>
    <row x14ac:dyDescent="0.25" r="953" customHeight="1" ht="14.25">
      <c r="A953" s="30"/>
      <c r="B953" s="30"/>
      <c r="C953" s="30"/>
      <c r="D953" s="7"/>
      <c r="E953" s="7"/>
      <c r="F953" s="7"/>
      <c r="G953" s="30"/>
      <c r="H953" s="7"/>
      <c r="I953" s="8"/>
    </row>
    <row x14ac:dyDescent="0.25" r="954" customHeight="1" ht="14.25">
      <c r="A954" s="30"/>
      <c r="B954" s="30"/>
      <c r="C954" s="30"/>
      <c r="D954" s="7"/>
      <c r="E954" s="7"/>
      <c r="F954" s="7"/>
      <c r="G954" s="30"/>
      <c r="H954" s="7"/>
      <c r="I954" s="8"/>
    </row>
    <row x14ac:dyDescent="0.25" r="955" customHeight="1" ht="14.25">
      <c r="A955" s="30"/>
      <c r="B955" s="30"/>
      <c r="C955" s="30"/>
      <c r="D955" s="7"/>
      <c r="E955" s="7"/>
      <c r="F955" s="7"/>
      <c r="G955" s="30"/>
      <c r="H955" s="7"/>
      <c r="I955" s="8"/>
    </row>
    <row x14ac:dyDescent="0.25" r="956" customHeight="1" ht="14.25">
      <c r="A956" s="30"/>
      <c r="B956" s="30"/>
      <c r="C956" s="30"/>
      <c r="D956" s="7"/>
      <c r="E956" s="7"/>
      <c r="F956" s="7"/>
      <c r="G956" s="30"/>
      <c r="H956" s="7"/>
      <c r="I956" s="8"/>
    </row>
    <row x14ac:dyDescent="0.25" r="957" customHeight="1" ht="14.25">
      <c r="A957" s="30"/>
      <c r="B957" s="30"/>
      <c r="C957" s="30"/>
      <c r="D957" s="7"/>
      <c r="E957" s="7"/>
      <c r="F957" s="7"/>
      <c r="G957" s="30"/>
      <c r="H957" s="7"/>
      <c r="I957" s="8"/>
    </row>
    <row x14ac:dyDescent="0.25" r="958" customHeight="1" ht="14.25">
      <c r="A958" s="30"/>
      <c r="B958" s="30"/>
      <c r="C958" s="30"/>
      <c r="D958" s="7"/>
      <c r="E958" s="7"/>
      <c r="F958" s="7"/>
      <c r="G958" s="30"/>
      <c r="H958" s="7"/>
      <c r="I958" s="8"/>
    </row>
    <row x14ac:dyDescent="0.25" r="959" customHeight="1" ht="14.25">
      <c r="A959" s="30"/>
      <c r="B959" s="30"/>
      <c r="C959" s="30"/>
      <c r="D959" s="7"/>
      <c r="E959" s="7"/>
      <c r="F959" s="7"/>
      <c r="G959" s="30"/>
      <c r="H959" s="7"/>
      <c r="I959" s="8"/>
    </row>
    <row x14ac:dyDescent="0.25" r="960" customHeight="1" ht="14.25">
      <c r="A960" s="30"/>
      <c r="B960" s="30"/>
      <c r="C960" s="30"/>
      <c r="D960" s="7"/>
      <c r="E960" s="7"/>
      <c r="F960" s="7"/>
      <c r="G960" s="30"/>
      <c r="H960" s="7"/>
      <c r="I960" s="8"/>
    </row>
    <row x14ac:dyDescent="0.25" r="961" customHeight="1" ht="14.25">
      <c r="A961" s="30"/>
      <c r="B961" s="30"/>
      <c r="C961" s="30"/>
      <c r="D961" s="7"/>
      <c r="E961" s="7"/>
      <c r="F961" s="7"/>
      <c r="G961" s="30"/>
      <c r="H961" s="7"/>
      <c r="I961" s="8"/>
    </row>
    <row x14ac:dyDescent="0.25" r="962" customHeight="1" ht="14.25">
      <c r="A962" s="30"/>
      <c r="B962" s="30"/>
      <c r="C962" s="30"/>
      <c r="D962" s="7"/>
      <c r="E962" s="7"/>
      <c r="F962" s="7"/>
      <c r="G962" s="30"/>
      <c r="H962" s="7"/>
      <c r="I962" s="8"/>
    </row>
    <row x14ac:dyDescent="0.25" r="963" customHeight="1" ht="14.25">
      <c r="A963" s="30"/>
      <c r="B963" s="30"/>
      <c r="C963" s="30"/>
      <c r="D963" s="7"/>
      <c r="E963" s="7"/>
      <c r="F963" s="7"/>
      <c r="G963" s="30"/>
      <c r="H963" s="7"/>
      <c r="I963" s="8"/>
    </row>
    <row x14ac:dyDescent="0.25" r="964" customHeight="1" ht="14.25">
      <c r="A964" s="30"/>
      <c r="B964" s="30"/>
      <c r="C964" s="30"/>
      <c r="D964" s="7"/>
      <c r="E964" s="7"/>
      <c r="F964" s="7"/>
      <c r="G964" s="30"/>
      <c r="H964" s="7"/>
      <c r="I964" s="8"/>
    </row>
    <row x14ac:dyDescent="0.25" r="965" customHeight="1" ht="14.25">
      <c r="A965" s="30"/>
      <c r="B965" s="30"/>
      <c r="C965" s="30"/>
      <c r="D965" s="7"/>
      <c r="E965" s="7"/>
      <c r="F965" s="7"/>
      <c r="G965" s="30"/>
      <c r="H965" s="7"/>
      <c r="I965" s="8"/>
    </row>
    <row x14ac:dyDescent="0.25" r="966" customHeight="1" ht="14.25">
      <c r="A966" s="30"/>
      <c r="B966" s="30"/>
      <c r="C966" s="30"/>
      <c r="D966" s="7"/>
      <c r="E966" s="7"/>
      <c r="F966" s="7"/>
      <c r="G966" s="30"/>
      <c r="H966" s="7"/>
      <c r="I966" s="8"/>
    </row>
    <row x14ac:dyDescent="0.25" r="967" customHeight="1" ht="14.25">
      <c r="A967" s="30"/>
      <c r="B967" s="30"/>
      <c r="C967" s="30"/>
      <c r="D967" s="7"/>
      <c r="E967" s="7"/>
      <c r="F967" s="7"/>
      <c r="G967" s="30"/>
      <c r="H967" s="7"/>
      <c r="I967" s="8"/>
    </row>
    <row x14ac:dyDescent="0.25" r="968" customHeight="1" ht="14.25">
      <c r="A968" s="30"/>
      <c r="B968" s="30"/>
      <c r="C968" s="30"/>
      <c r="D968" s="7"/>
      <c r="E968" s="7"/>
      <c r="F968" s="7"/>
      <c r="G968" s="30"/>
      <c r="H968" s="7"/>
      <c r="I968" s="8"/>
    </row>
    <row x14ac:dyDescent="0.25" r="969" customHeight="1" ht="14.25">
      <c r="A969" s="30"/>
      <c r="B969" s="30"/>
      <c r="C969" s="30"/>
      <c r="D969" s="7"/>
      <c r="E969" s="7"/>
      <c r="F969" s="7"/>
      <c r="G969" s="30"/>
      <c r="H969" s="7"/>
      <c r="I969" s="8"/>
    </row>
    <row x14ac:dyDescent="0.25" r="970" customHeight="1" ht="14.25">
      <c r="A970" s="30"/>
      <c r="B970" s="30"/>
      <c r="C970" s="30"/>
      <c r="D970" s="7"/>
      <c r="E970" s="7"/>
      <c r="F970" s="7"/>
      <c r="G970" s="30"/>
      <c r="H970" s="7"/>
      <c r="I970" s="8"/>
    </row>
    <row x14ac:dyDescent="0.25" r="971" customHeight="1" ht="14.25">
      <c r="A971" s="30"/>
      <c r="B971" s="30"/>
      <c r="C971" s="30"/>
      <c r="D971" s="7"/>
      <c r="E971" s="7"/>
      <c r="F971" s="7"/>
      <c r="G971" s="30"/>
      <c r="H971" s="7"/>
      <c r="I971" s="8"/>
    </row>
    <row x14ac:dyDescent="0.25" r="972" customHeight="1" ht="14.25">
      <c r="A972" s="30"/>
      <c r="B972" s="30"/>
      <c r="C972" s="30"/>
      <c r="D972" s="7"/>
      <c r="E972" s="7"/>
      <c r="F972" s="7"/>
      <c r="G972" s="30"/>
      <c r="H972" s="7"/>
      <c r="I972" s="8"/>
    </row>
    <row x14ac:dyDescent="0.25" r="973" customHeight="1" ht="14.25">
      <c r="A973" s="30"/>
      <c r="B973" s="30"/>
      <c r="C973" s="30"/>
      <c r="D973" s="7"/>
      <c r="E973" s="7"/>
      <c r="F973" s="7"/>
      <c r="G973" s="30"/>
      <c r="H973" s="7"/>
      <c r="I973" s="8"/>
    </row>
    <row x14ac:dyDescent="0.25" r="974" customHeight="1" ht="14.25">
      <c r="A974" s="30"/>
      <c r="B974" s="30"/>
      <c r="C974" s="30"/>
      <c r="D974" s="7"/>
      <c r="E974" s="7"/>
      <c r="F974" s="7"/>
      <c r="G974" s="30"/>
      <c r="H974" s="7"/>
      <c r="I974" s="8"/>
    </row>
    <row x14ac:dyDescent="0.25" r="975" customHeight="1" ht="14.25">
      <c r="A975" s="30"/>
      <c r="B975" s="30"/>
      <c r="C975" s="30"/>
      <c r="D975" s="7"/>
      <c r="E975" s="7"/>
      <c r="F975" s="7"/>
      <c r="G975" s="30"/>
      <c r="H975" s="7"/>
      <c r="I975" s="8"/>
    </row>
    <row x14ac:dyDescent="0.25" r="976" customHeight="1" ht="14.25">
      <c r="A976" s="30"/>
      <c r="B976" s="30"/>
      <c r="C976" s="30"/>
      <c r="D976" s="7"/>
      <c r="E976" s="7"/>
      <c r="F976" s="7"/>
      <c r="G976" s="30"/>
      <c r="H976" s="7"/>
      <c r="I976" s="8"/>
    </row>
    <row x14ac:dyDescent="0.25" r="977" customHeight="1" ht="14.25">
      <c r="A977" s="30"/>
      <c r="B977" s="30"/>
      <c r="C977" s="30"/>
      <c r="D977" s="7"/>
      <c r="E977" s="7"/>
      <c r="F977" s="7"/>
      <c r="G977" s="30"/>
      <c r="H977" s="7"/>
      <c r="I977" s="8"/>
    </row>
    <row x14ac:dyDescent="0.25" r="978" customHeight="1" ht="14.25">
      <c r="A978" s="30"/>
      <c r="B978" s="30"/>
      <c r="C978" s="30"/>
      <c r="D978" s="7"/>
      <c r="E978" s="7"/>
      <c r="F978" s="7"/>
      <c r="G978" s="30"/>
      <c r="H978" s="7"/>
      <c r="I978" s="8"/>
    </row>
    <row x14ac:dyDescent="0.25" r="979" customHeight="1" ht="14.25">
      <c r="A979" s="30"/>
      <c r="B979" s="30"/>
      <c r="C979" s="30"/>
      <c r="D979" s="7"/>
      <c r="E979" s="7"/>
      <c r="F979" s="7"/>
      <c r="G979" s="30"/>
      <c r="H979" s="7"/>
      <c r="I979" s="8"/>
    </row>
    <row x14ac:dyDescent="0.25" r="980" customHeight="1" ht="14.25">
      <c r="A980" s="30"/>
      <c r="B980" s="30"/>
      <c r="C980" s="30"/>
      <c r="D980" s="7"/>
      <c r="E980" s="7"/>
      <c r="F980" s="7"/>
      <c r="G980" s="30"/>
      <c r="H980" s="7"/>
      <c r="I980" s="8"/>
    </row>
    <row x14ac:dyDescent="0.25" r="981" customHeight="1" ht="14.25">
      <c r="A981" s="30"/>
      <c r="B981" s="30"/>
      <c r="C981" s="30"/>
      <c r="D981" s="7"/>
      <c r="E981" s="7"/>
      <c r="F981" s="7"/>
      <c r="G981" s="30"/>
      <c r="H981" s="7"/>
      <c r="I981" s="8"/>
    </row>
    <row x14ac:dyDescent="0.25" r="982" customHeight="1" ht="14.25">
      <c r="A982" s="30"/>
      <c r="B982" s="30"/>
      <c r="C982" s="30"/>
      <c r="D982" s="7"/>
      <c r="E982" s="7"/>
      <c r="F982" s="7"/>
      <c r="G982" s="30"/>
      <c r="H982" s="7"/>
      <c r="I982" s="8"/>
    </row>
    <row x14ac:dyDescent="0.25" r="983" customHeight="1" ht="14.25">
      <c r="A983" s="30"/>
      <c r="B983" s="30"/>
      <c r="C983" s="30"/>
      <c r="D983" s="7"/>
      <c r="E983" s="7"/>
      <c r="F983" s="7"/>
      <c r="G983" s="30"/>
      <c r="H983" s="7"/>
      <c r="I983" s="8"/>
    </row>
    <row x14ac:dyDescent="0.25" r="984" customHeight="1" ht="14.25">
      <c r="A984" s="30"/>
      <c r="B984" s="30"/>
      <c r="C984" s="30"/>
      <c r="D984" s="7"/>
      <c r="E984" s="7"/>
      <c r="F984" s="7"/>
      <c r="G984" s="30"/>
      <c r="H984" s="7"/>
      <c r="I984" s="8"/>
    </row>
    <row x14ac:dyDescent="0.25" r="985" customHeight="1" ht="14.25">
      <c r="A985" s="30"/>
      <c r="B985" s="30"/>
      <c r="C985" s="30"/>
      <c r="D985" s="7"/>
      <c r="E985" s="7"/>
      <c r="F985" s="7"/>
      <c r="G985" s="30"/>
      <c r="H985" s="7"/>
      <c r="I985" s="8"/>
    </row>
    <row x14ac:dyDescent="0.25" r="986" customHeight="1" ht="14.25">
      <c r="A986" s="30"/>
      <c r="B986" s="30"/>
      <c r="C986" s="30"/>
      <c r="D986" s="7"/>
      <c r="E986" s="7"/>
      <c r="F986" s="7"/>
      <c r="G986" s="30"/>
      <c r="H986" s="7"/>
      <c r="I986" s="8"/>
    </row>
    <row x14ac:dyDescent="0.25" r="987" customHeight="1" ht="14.25">
      <c r="A987" s="30"/>
      <c r="B987" s="30"/>
      <c r="C987" s="30"/>
      <c r="D987" s="7"/>
      <c r="E987" s="7"/>
      <c r="F987" s="7"/>
      <c r="G987" s="30"/>
      <c r="H987" s="7"/>
      <c r="I987" s="8"/>
    </row>
    <row x14ac:dyDescent="0.25" r="988" customHeight="1" ht="14.25">
      <c r="A988" s="30"/>
      <c r="B988" s="30"/>
      <c r="C988" s="30"/>
      <c r="D988" s="7"/>
      <c r="E988" s="7"/>
      <c r="F988" s="7"/>
      <c r="G988" s="30"/>
      <c r="H988" s="7"/>
      <c r="I988" s="8"/>
    </row>
    <row x14ac:dyDescent="0.25" r="989" customHeight="1" ht="14.25">
      <c r="A989" s="30"/>
      <c r="B989" s="30"/>
      <c r="C989" s="30"/>
      <c r="D989" s="7"/>
      <c r="E989" s="7"/>
      <c r="F989" s="7"/>
      <c r="G989" s="30"/>
      <c r="H989" s="7"/>
      <c r="I989" s="8"/>
    </row>
    <row x14ac:dyDescent="0.25" r="990" customHeight="1" ht="14.25">
      <c r="A990" s="30"/>
      <c r="B990" s="30"/>
      <c r="C990" s="30"/>
      <c r="D990" s="7"/>
      <c r="E990" s="7"/>
      <c r="F990" s="7"/>
      <c r="G990" s="30"/>
      <c r="H990" s="7"/>
      <c r="I990" s="8"/>
    </row>
  </sheetData>
  <mergeCells count="3">
    <mergeCell ref="A1:C2"/>
    <mergeCell ref="A3:B3"/>
    <mergeCell ref="A32:C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91"/>
  <sheetViews>
    <sheetView workbookViewId="0"/>
  </sheetViews>
  <sheetFormatPr defaultRowHeight="15" x14ac:dyDescent="0.25"/>
  <cols>
    <col min="1" max="1" style="33" width="6.719285714285714" customWidth="1" bestFit="1"/>
    <col min="2" max="2" style="33" width="16.14785714285714" customWidth="1" bestFit="1"/>
    <col min="3" max="3" style="34" width="20.290714285714284" customWidth="1" bestFit="1"/>
    <col min="4" max="4" style="33" width="19.290714285714284" customWidth="1" bestFit="1"/>
    <col min="5" max="5" style="34" width="17.290714285714284" customWidth="1" bestFit="1"/>
    <col min="6" max="6" style="34" width="13.576428571428572" customWidth="1" bestFit="1"/>
    <col min="7" max="7" style="34" width="13.576428571428572" customWidth="1" bestFit="1"/>
    <col min="8" max="8" style="34" width="9.862142857142858" customWidth="1" bestFit="1"/>
    <col min="9" max="9" style="35" width="13.576428571428572" customWidth="1" bestFit="1"/>
  </cols>
  <sheetData>
    <row x14ac:dyDescent="0.25" r="1" customHeight="1" ht="20.25">
      <c r="A1" s="1" t="s">
        <v>0</v>
      </c>
      <c r="B1" s="2"/>
      <c r="C1" s="3"/>
      <c r="D1" s="4"/>
      <c r="E1" s="5"/>
      <c r="F1" s="6"/>
      <c r="G1" s="6"/>
      <c r="H1" s="7"/>
      <c r="I1" s="8"/>
    </row>
    <row x14ac:dyDescent="0.25" r="2" customHeight="1" ht="27.75">
      <c r="A2" s="2"/>
      <c r="B2" s="2"/>
      <c r="C2" s="3"/>
      <c r="D2" s="9" t="s">
        <v>1</v>
      </c>
      <c r="E2" s="5"/>
      <c r="F2" s="6"/>
      <c r="G2" s="6"/>
      <c r="H2" s="7"/>
      <c r="I2" s="8"/>
    </row>
    <row x14ac:dyDescent="0.25" r="3" customHeight="1" ht="20.25">
      <c r="A3" s="10" t="s">
        <v>2</v>
      </c>
      <c r="B3" s="10"/>
      <c r="C3" s="11"/>
      <c r="D3" s="12"/>
      <c r="E3" s="11"/>
      <c r="F3" s="13"/>
      <c r="G3" s="13"/>
      <c r="H3" s="14"/>
      <c r="I3" s="8"/>
    </row>
    <row x14ac:dyDescent="0.25" r="4" customHeight="1" ht="34.5">
      <c r="A4" s="15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 t="s">
        <v>8</v>
      </c>
      <c r="G4" s="19" t="s">
        <v>9</v>
      </c>
      <c r="H4" s="14" t="s">
        <v>10</v>
      </c>
      <c r="I4" s="8"/>
    </row>
    <row x14ac:dyDescent="0.25" r="5" customHeight="1" ht="21">
      <c r="A5" s="20">
        <v>1</v>
      </c>
      <c r="B5" s="21">
        <v>22222168</v>
      </c>
      <c r="C5" s="13">
        <v>7.5</v>
      </c>
      <c r="D5" s="22">
        <v>5</v>
      </c>
      <c r="E5" s="23">
        <f>C5+D5</f>
      </c>
      <c r="F5" s="13">
        <v>4</v>
      </c>
      <c r="G5" s="13">
        <v>0</v>
      </c>
      <c r="H5" s="24">
        <f>F5+G5</f>
      </c>
      <c r="I5" s="8"/>
    </row>
    <row x14ac:dyDescent="0.25" r="6" customHeight="1" ht="20.25">
      <c r="A6" s="25">
        <v>2</v>
      </c>
      <c r="B6" s="21">
        <v>22221927</v>
      </c>
      <c r="C6" s="13">
        <v>8.5</v>
      </c>
      <c r="D6" s="22">
        <v>8</v>
      </c>
      <c r="E6" s="23">
        <f>C6+D6</f>
      </c>
      <c r="F6" s="13">
        <v>4.5</v>
      </c>
      <c r="G6" s="13">
        <v>2.75</v>
      </c>
      <c r="H6" s="24">
        <f>F6+G6</f>
      </c>
      <c r="I6" s="8"/>
    </row>
    <row x14ac:dyDescent="0.25" r="7" customHeight="1" ht="20.25">
      <c r="A7" s="25">
        <v>3</v>
      </c>
      <c r="B7" s="21">
        <v>22221810</v>
      </c>
      <c r="C7" s="22">
        <v>5</v>
      </c>
      <c r="D7" s="22">
        <v>5</v>
      </c>
      <c r="E7" s="26">
        <f>C7+D7</f>
      </c>
      <c r="F7" s="13">
        <v>1.75</v>
      </c>
      <c r="G7" s="13">
        <v>1</v>
      </c>
      <c r="H7" s="24">
        <f>F7+G7</f>
      </c>
      <c r="I7" s="8"/>
    </row>
    <row x14ac:dyDescent="0.25" r="8" customHeight="1" ht="21">
      <c r="A8" s="20">
        <v>4</v>
      </c>
      <c r="B8" s="21">
        <v>22221818</v>
      </c>
      <c r="C8" s="22">
        <v>3</v>
      </c>
      <c r="D8" s="22">
        <v>5</v>
      </c>
      <c r="E8" s="26">
        <f>C8+D8</f>
      </c>
      <c r="F8" s="13">
        <v>0</v>
      </c>
      <c r="G8" s="13">
        <v>0</v>
      </c>
      <c r="H8" s="24">
        <f>F8+G8</f>
      </c>
      <c r="I8" s="8"/>
    </row>
    <row x14ac:dyDescent="0.25" r="9" customHeight="1" ht="20.25">
      <c r="A9" s="25">
        <v>5</v>
      </c>
      <c r="B9" s="21">
        <v>22221803</v>
      </c>
      <c r="C9" s="13">
        <v>6.5</v>
      </c>
      <c r="D9" s="13">
        <v>6.5</v>
      </c>
      <c r="E9" s="26">
        <f>C9+D9</f>
      </c>
      <c r="F9" s="13">
        <v>10</v>
      </c>
      <c r="G9" s="13">
        <v>8.25</v>
      </c>
      <c r="H9" s="24">
        <f>F9+G9</f>
      </c>
      <c r="I9" s="8"/>
    </row>
    <row x14ac:dyDescent="0.25" r="10" customHeight="1" ht="20.25">
      <c r="A10" s="25">
        <v>6</v>
      </c>
      <c r="B10" s="21">
        <v>22221908</v>
      </c>
      <c r="C10" s="22">
        <v>4</v>
      </c>
      <c r="D10" s="13">
        <v>4.5</v>
      </c>
      <c r="E10" s="23">
        <f>C10+D10</f>
      </c>
      <c r="F10" s="13">
        <v>2.75</v>
      </c>
      <c r="G10" s="13">
        <v>1.5</v>
      </c>
      <c r="H10" s="24">
        <f>F10+G10</f>
      </c>
      <c r="I10" s="8"/>
    </row>
    <row x14ac:dyDescent="0.25" r="11" customHeight="1" ht="21">
      <c r="A11" s="20">
        <v>7</v>
      </c>
      <c r="B11" s="21">
        <v>22221921</v>
      </c>
      <c r="C11" s="22">
        <v>4</v>
      </c>
      <c r="D11" s="13">
        <v>6.5</v>
      </c>
      <c r="E11" s="23">
        <f>C11+D11</f>
      </c>
      <c r="F11" s="13">
        <v>2.25</v>
      </c>
      <c r="G11" s="13">
        <v>0.5</v>
      </c>
      <c r="H11" s="24">
        <f>F11+G11</f>
      </c>
      <c r="I11" s="8"/>
    </row>
    <row x14ac:dyDescent="0.25" r="12" customHeight="1" ht="20.25">
      <c r="A12" s="25">
        <v>8</v>
      </c>
      <c r="B12" s="21">
        <v>22221952</v>
      </c>
      <c r="C12" s="22">
        <v>5</v>
      </c>
      <c r="D12" s="22">
        <v>5</v>
      </c>
      <c r="E12" s="26">
        <f>C12+D12</f>
      </c>
      <c r="F12" s="13">
        <v>1.75</v>
      </c>
      <c r="G12" s="13">
        <v>0</v>
      </c>
      <c r="H12" s="24">
        <f>F12+G12</f>
      </c>
      <c r="I12" s="8"/>
    </row>
    <row x14ac:dyDescent="0.25" r="13" customHeight="1" ht="20.25">
      <c r="A13" s="25">
        <v>9</v>
      </c>
      <c r="B13" s="21">
        <v>22221974</v>
      </c>
      <c r="C13" s="13">
        <v>3.5</v>
      </c>
      <c r="D13" s="22">
        <v>5</v>
      </c>
      <c r="E13" s="23">
        <f>C13+D13</f>
      </c>
      <c r="F13" s="13">
        <v>2.75</v>
      </c>
      <c r="G13" s="13">
        <v>1</v>
      </c>
      <c r="H13" s="24">
        <f>F13+G13</f>
      </c>
      <c r="I13" s="8"/>
    </row>
    <row x14ac:dyDescent="0.25" r="14" customHeight="1" ht="21">
      <c r="A14" s="20">
        <v>10</v>
      </c>
      <c r="B14" s="21">
        <v>22221902</v>
      </c>
      <c r="C14" s="22">
        <v>6</v>
      </c>
      <c r="D14" s="13">
        <v>6.5</v>
      </c>
      <c r="E14" s="23">
        <f>C14+D14</f>
      </c>
      <c r="F14" s="13">
        <v>3.5</v>
      </c>
      <c r="G14" s="13">
        <v>2</v>
      </c>
      <c r="H14" s="24">
        <f>F14+G14</f>
      </c>
      <c r="I14" s="8"/>
    </row>
    <row x14ac:dyDescent="0.25" r="15" customHeight="1" ht="20.25">
      <c r="A15" s="25">
        <v>11</v>
      </c>
      <c r="B15" s="21">
        <v>22221819</v>
      </c>
      <c r="C15" s="13">
        <v>4.5</v>
      </c>
      <c r="D15" s="13">
        <v>6.5</v>
      </c>
      <c r="E15" s="26">
        <f>C15+D15</f>
      </c>
      <c r="F15" s="13">
        <v>1.75</v>
      </c>
      <c r="G15" s="13">
        <v>1</v>
      </c>
      <c r="H15" s="24">
        <f>F15+G15</f>
      </c>
      <c r="I15" s="8"/>
    </row>
    <row x14ac:dyDescent="0.25" r="16" customHeight="1" ht="20.25">
      <c r="A16" s="25">
        <v>12</v>
      </c>
      <c r="B16" s="21">
        <v>22221833</v>
      </c>
      <c r="C16" s="22">
        <v>9</v>
      </c>
      <c r="D16" s="22">
        <v>4</v>
      </c>
      <c r="E16" s="26">
        <f>C16+D16</f>
      </c>
      <c r="F16" s="13">
        <v>10</v>
      </c>
      <c r="G16" s="13">
        <v>8.5</v>
      </c>
      <c r="H16" s="24">
        <f>F16+G16</f>
      </c>
      <c r="I16" s="8"/>
    </row>
    <row x14ac:dyDescent="0.25" r="17" customHeight="1" ht="21">
      <c r="A17" s="20">
        <v>13</v>
      </c>
      <c r="B17" s="21">
        <v>22221928</v>
      </c>
      <c r="C17" s="22">
        <v>6</v>
      </c>
      <c r="D17" s="22">
        <v>8</v>
      </c>
      <c r="E17" s="26">
        <f>C17+D17</f>
      </c>
      <c r="F17" s="13">
        <v>4.75</v>
      </c>
      <c r="G17" s="13">
        <v>1</v>
      </c>
      <c r="H17" s="24">
        <f>F17+G17</f>
      </c>
      <c r="I17" s="8"/>
    </row>
    <row x14ac:dyDescent="0.25" r="18" customHeight="1" ht="20.25">
      <c r="A18" s="25">
        <v>14</v>
      </c>
      <c r="B18" s="21">
        <v>22221925</v>
      </c>
      <c r="C18" s="22">
        <v>8</v>
      </c>
      <c r="D18" s="22">
        <v>5</v>
      </c>
      <c r="E18" s="26">
        <f>C18+D18</f>
      </c>
      <c r="F18" s="13">
        <v>4.25</v>
      </c>
      <c r="G18" s="13">
        <v>1</v>
      </c>
      <c r="H18" s="24">
        <f>F18+G18</f>
      </c>
      <c r="I18" s="8"/>
    </row>
    <row x14ac:dyDescent="0.25" r="19" customHeight="1" ht="20.25">
      <c r="A19" s="25">
        <v>15</v>
      </c>
      <c r="B19" s="21">
        <v>22221897</v>
      </c>
      <c r="C19" s="22">
        <v>3</v>
      </c>
      <c r="D19" s="13">
        <v>2.5</v>
      </c>
      <c r="E19" s="23">
        <f>C19+D19</f>
      </c>
      <c r="F19" s="13">
        <v>4.25</v>
      </c>
      <c r="G19" s="13">
        <v>0</v>
      </c>
      <c r="H19" s="24">
        <f>F19+G19</f>
      </c>
      <c r="I19" s="8"/>
    </row>
    <row x14ac:dyDescent="0.25" r="20" customHeight="1" ht="21">
      <c r="A20" s="20">
        <v>16</v>
      </c>
      <c r="B20" s="21">
        <v>22221827</v>
      </c>
      <c r="C20" s="13">
        <v>6.5</v>
      </c>
      <c r="D20" s="22">
        <v>8</v>
      </c>
      <c r="E20" s="23">
        <f>C20+D20</f>
      </c>
      <c r="F20" s="13">
        <v>0.75</v>
      </c>
      <c r="G20" s="13">
        <v>2.25</v>
      </c>
      <c r="H20" s="24">
        <f>F20+G20</f>
      </c>
      <c r="I20" s="8"/>
    </row>
    <row x14ac:dyDescent="0.25" r="21" customHeight="1" ht="20.25">
      <c r="A21" s="25">
        <v>17</v>
      </c>
      <c r="B21" s="21">
        <v>22221825</v>
      </c>
      <c r="C21" s="22">
        <v>6</v>
      </c>
      <c r="D21" s="13">
        <v>5.5</v>
      </c>
      <c r="E21" s="23">
        <f>C21+D21</f>
      </c>
      <c r="F21" s="13">
        <v>4.75</v>
      </c>
      <c r="G21" s="13">
        <v>1</v>
      </c>
      <c r="H21" s="24">
        <f>F21+G21</f>
      </c>
      <c r="I21" s="8"/>
    </row>
    <row x14ac:dyDescent="0.25" r="22" customHeight="1" ht="20.25">
      <c r="A22" s="25">
        <v>18</v>
      </c>
      <c r="B22" s="21">
        <v>22221963</v>
      </c>
      <c r="C22" s="22">
        <v>4</v>
      </c>
      <c r="D22" s="22">
        <v>5</v>
      </c>
      <c r="E22" s="26">
        <f>C22+D22</f>
      </c>
      <c r="F22" s="13">
        <v>1.75</v>
      </c>
      <c r="G22" s="13">
        <v>0</v>
      </c>
      <c r="H22" s="24">
        <f>F22+G22</f>
      </c>
      <c r="I22" s="8"/>
    </row>
    <row x14ac:dyDescent="0.25" r="23" customHeight="1" ht="21">
      <c r="A23" s="20">
        <v>19</v>
      </c>
      <c r="B23" s="21">
        <v>22221951</v>
      </c>
      <c r="C23" s="22">
        <v>9</v>
      </c>
      <c r="D23" s="22">
        <v>8</v>
      </c>
      <c r="E23" s="26">
        <f>C23+D23</f>
      </c>
      <c r="F23" s="13">
        <v>7.5</v>
      </c>
      <c r="G23" s="13">
        <v>5.75</v>
      </c>
      <c r="H23" s="24">
        <f>F23+G23</f>
      </c>
      <c r="I23" s="8"/>
    </row>
    <row x14ac:dyDescent="0.25" r="24" customHeight="1" ht="20.25">
      <c r="A24" s="25">
        <v>20</v>
      </c>
      <c r="B24" s="21">
        <v>22221822</v>
      </c>
      <c r="C24" s="22">
        <v>5</v>
      </c>
      <c r="D24" s="22">
        <v>5</v>
      </c>
      <c r="E24" s="26">
        <f>C24+D24</f>
      </c>
      <c r="F24" s="13">
        <v>0</v>
      </c>
      <c r="G24" s="13">
        <v>0</v>
      </c>
      <c r="H24" s="24">
        <f>F24+G24</f>
      </c>
      <c r="I24" s="8"/>
    </row>
    <row x14ac:dyDescent="0.25" r="25" customHeight="1" ht="20.25">
      <c r="A25" s="25">
        <v>21</v>
      </c>
      <c r="B25" s="27">
        <v>22221900</v>
      </c>
      <c r="C25" s="13">
        <v>4.5</v>
      </c>
      <c r="D25" s="13">
        <v>1.5</v>
      </c>
      <c r="E25" s="26">
        <f>C25+D25</f>
      </c>
      <c r="F25" s="13">
        <v>3.75</v>
      </c>
      <c r="G25" s="13">
        <v>0</v>
      </c>
      <c r="H25" s="24">
        <f>F25+G25</f>
      </c>
      <c r="I25" s="8"/>
    </row>
    <row x14ac:dyDescent="0.25" r="26" customHeight="1" ht="21">
      <c r="A26" s="20">
        <v>22</v>
      </c>
      <c r="B26" s="21">
        <v>22221943</v>
      </c>
      <c r="C26" s="13">
        <v>8.5</v>
      </c>
      <c r="D26" s="13">
        <v>6.5</v>
      </c>
      <c r="E26" s="26">
        <f>C26+D26</f>
      </c>
      <c r="F26" s="13">
        <v>10</v>
      </c>
      <c r="G26" s="13">
        <v>6.25</v>
      </c>
      <c r="H26" s="24">
        <f>F26+G26</f>
      </c>
      <c r="I26" s="8"/>
    </row>
    <row x14ac:dyDescent="0.25" r="27" customHeight="1" ht="20.25">
      <c r="A27" s="25">
        <v>23</v>
      </c>
      <c r="B27" s="21">
        <v>22221907</v>
      </c>
      <c r="C27" s="22">
        <v>5</v>
      </c>
      <c r="D27" s="22">
        <v>5</v>
      </c>
      <c r="E27" s="26">
        <f>C27+D27</f>
      </c>
      <c r="F27" s="13">
        <v>6.5</v>
      </c>
      <c r="G27" s="13">
        <v>1</v>
      </c>
      <c r="H27" s="24">
        <f>F27+G27</f>
      </c>
      <c r="I27" s="8"/>
    </row>
    <row x14ac:dyDescent="0.25" r="28" customHeight="1" ht="20.25">
      <c r="A28" s="25">
        <v>24</v>
      </c>
      <c r="B28" s="21">
        <v>22221941</v>
      </c>
      <c r="C28" s="13">
        <v>4.5</v>
      </c>
      <c r="D28" s="13">
        <v>6.5</v>
      </c>
      <c r="E28" s="26">
        <f>C28+D28</f>
      </c>
      <c r="F28" s="13">
        <v>2.75</v>
      </c>
      <c r="G28" s="13">
        <v>1.25</v>
      </c>
      <c r="H28" s="24">
        <f>F28+G28</f>
      </c>
      <c r="I28" s="8"/>
    </row>
    <row x14ac:dyDescent="0.25" r="29" customHeight="1" ht="21">
      <c r="A29" s="20">
        <v>25</v>
      </c>
      <c r="B29" s="21">
        <v>22221946</v>
      </c>
      <c r="C29" s="13">
        <v>5.5</v>
      </c>
      <c r="D29" s="22">
        <v>5</v>
      </c>
      <c r="E29" s="23">
        <f>C29+D29</f>
      </c>
      <c r="F29" s="13">
        <v>5</v>
      </c>
      <c r="G29" s="13">
        <v>1</v>
      </c>
      <c r="H29" s="24">
        <f>F29+G29</f>
      </c>
      <c r="I29" s="8"/>
    </row>
    <row x14ac:dyDescent="0.25" r="30" customHeight="1" ht="20.25">
      <c r="A30" s="25">
        <v>26</v>
      </c>
      <c r="B30" s="21">
        <v>22221888</v>
      </c>
      <c r="C30" s="13">
        <v>4.5</v>
      </c>
      <c r="D30" s="22">
        <v>5</v>
      </c>
      <c r="E30" s="23">
        <f>C30+D30</f>
      </c>
      <c r="F30" s="13">
        <v>1.75</v>
      </c>
      <c r="G30" s="13">
        <v>0.75</v>
      </c>
      <c r="H30" s="24">
        <f>F30+G30</f>
      </c>
      <c r="I30" s="8"/>
    </row>
    <row x14ac:dyDescent="0.25" r="31" customHeight="1" ht="20.25">
      <c r="A31" s="25">
        <v>27</v>
      </c>
      <c r="B31" s="21">
        <v>22221836</v>
      </c>
      <c r="C31" s="22">
        <v>4</v>
      </c>
      <c r="D31" s="13">
        <v>1.5</v>
      </c>
      <c r="E31" s="23">
        <f>C31+D31</f>
      </c>
      <c r="F31" s="13">
        <v>4.25</v>
      </c>
      <c r="G31" s="13">
        <v>1</v>
      </c>
      <c r="H31" s="24">
        <f>F31+G31</f>
      </c>
      <c r="I31" s="8"/>
    </row>
    <row x14ac:dyDescent="0.25" r="32" customHeight="1" ht="21">
      <c r="A32" s="20">
        <v>28</v>
      </c>
      <c r="B32" s="17">
        <v>22221947</v>
      </c>
      <c r="C32" s="13">
        <v>6.5</v>
      </c>
      <c r="D32" s="22">
        <v>5</v>
      </c>
      <c r="E32" s="23">
        <f>C32+D32</f>
      </c>
      <c r="F32" s="13">
        <v>5.75</v>
      </c>
      <c r="G32" s="13">
        <v>0.5</v>
      </c>
      <c r="H32" s="24">
        <f>F32+G32</f>
      </c>
      <c r="I32" s="8"/>
    </row>
    <row x14ac:dyDescent="0.25" r="33" customHeight="1" ht="20.25">
      <c r="A33" s="25">
        <v>29</v>
      </c>
      <c r="B33" s="17">
        <v>22221814</v>
      </c>
      <c r="C33" s="13">
        <v>6.5</v>
      </c>
      <c r="D33" s="13">
        <v>6.5</v>
      </c>
      <c r="E33" s="26">
        <f>C33+D33</f>
      </c>
      <c r="F33" s="13">
        <v>6.5</v>
      </c>
      <c r="G33" s="13">
        <v>6.75</v>
      </c>
      <c r="H33" s="24">
        <f>F33+G33</f>
      </c>
      <c r="I33" s="8"/>
    </row>
    <row x14ac:dyDescent="0.25" r="34" customHeight="1" ht="14.25">
      <c r="A34" s="25">
        <v>30</v>
      </c>
      <c r="B34" s="17">
        <v>22221939</v>
      </c>
      <c r="C34" s="13">
        <v>5.5</v>
      </c>
      <c r="D34" s="13">
        <v>6.5</v>
      </c>
      <c r="E34" s="26">
        <f>C34+D34</f>
      </c>
      <c r="F34" s="13">
        <v>5.75</v>
      </c>
      <c r="G34" s="13">
        <v>7.25</v>
      </c>
      <c r="H34" s="24">
        <f>F34+G34</f>
      </c>
      <c r="I34" s="8"/>
    </row>
    <row x14ac:dyDescent="0.25" r="35" customHeight="1" ht="14.25">
      <c r="A35" s="20">
        <v>31</v>
      </c>
      <c r="B35" s="17">
        <v>22221912</v>
      </c>
      <c r="C35" s="22">
        <v>6</v>
      </c>
      <c r="D35" s="13">
        <v>9.5</v>
      </c>
      <c r="E35" s="23">
        <f>C35+D35</f>
      </c>
      <c r="F35" s="13">
        <v>4.5</v>
      </c>
      <c r="G35" s="13">
        <v>6</v>
      </c>
      <c r="H35" s="24">
        <f>F35+G35</f>
      </c>
      <c r="I35" s="8"/>
    </row>
    <row x14ac:dyDescent="0.25" r="36" customHeight="1" ht="14.25">
      <c r="A36" s="25">
        <v>32</v>
      </c>
      <c r="B36" s="17">
        <v>22221922</v>
      </c>
      <c r="C36" s="13">
        <v>3.5</v>
      </c>
      <c r="D36" s="22">
        <v>8</v>
      </c>
      <c r="E36" s="23">
        <f>C36+D36</f>
      </c>
      <c r="F36" s="13">
        <v>3.5</v>
      </c>
      <c r="G36" s="13">
        <v>3.75</v>
      </c>
      <c r="H36" s="24">
        <f>F36+G36</f>
      </c>
      <c r="I36" s="8"/>
    </row>
    <row x14ac:dyDescent="0.25" r="37" customHeight="1" ht="14.25">
      <c r="A37" s="25">
        <v>33</v>
      </c>
      <c r="B37" s="17">
        <v>22221957</v>
      </c>
      <c r="C37" s="22">
        <v>3</v>
      </c>
      <c r="D37" s="13">
        <v>2.5</v>
      </c>
      <c r="E37" s="23">
        <f>C37+D37</f>
      </c>
      <c r="F37" s="13">
        <v>4.25</v>
      </c>
      <c r="G37" s="13">
        <v>0</v>
      </c>
      <c r="H37" s="24">
        <f>F37+G37</f>
      </c>
      <c r="I37" s="8"/>
    </row>
    <row x14ac:dyDescent="0.25" r="38" customHeight="1" ht="14.25">
      <c r="A38" s="20">
        <v>34</v>
      </c>
      <c r="B38" s="17">
        <v>22221872</v>
      </c>
      <c r="C38" s="13">
        <v>4.5</v>
      </c>
      <c r="D38" s="22">
        <v>8</v>
      </c>
      <c r="E38" s="23">
        <f>C38+D38</f>
      </c>
      <c r="F38" s="13">
        <v>4.5</v>
      </c>
      <c r="G38" s="13">
        <v>0</v>
      </c>
      <c r="H38" s="24">
        <f>F38+G38</f>
      </c>
      <c r="I38" s="8"/>
    </row>
    <row x14ac:dyDescent="0.25" r="39" customHeight="1" ht="14.25">
      <c r="A39" s="25">
        <v>35</v>
      </c>
      <c r="B39" s="17">
        <v>22221923</v>
      </c>
      <c r="C39" s="13">
        <v>5.5</v>
      </c>
      <c r="D39" s="22">
        <v>5</v>
      </c>
      <c r="E39" s="23">
        <f>C39+D39</f>
      </c>
      <c r="F39" s="13">
        <v>3.5</v>
      </c>
      <c r="G39" s="13">
        <v>7.75</v>
      </c>
      <c r="H39" s="24">
        <f>F39+G39</f>
      </c>
      <c r="I39" s="8"/>
    </row>
    <row x14ac:dyDescent="0.25" r="40" customHeight="1" ht="14.25">
      <c r="A40" s="25">
        <v>36</v>
      </c>
      <c r="B40" s="28">
        <v>22221949</v>
      </c>
      <c r="C40" s="13">
        <v>3.5</v>
      </c>
      <c r="D40" s="13">
        <v>6.5</v>
      </c>
      <c r="E40" s="26">
        <f>C40+D40</f>
      </c>
      <c r="F40" s="13">
        <v>7</v>
      </c>
      <c r="G40" s="13">
        <v>8.5</v>
      </c>
      <c r="H40" s="24">
        <f>F40+G40</f>
      </c>
      <c r="I40" s="8"/>
    </row>
    <row x14ac:dyDescent="0.25" r="41" customHeight="1" ht="14.25">
      <c r="A41" s="20">
        <v>37</v>
      </c>
      <c r="B41" s="28">
        <v>22221831</v>
      </c>
      <c r="C41" s="22">
        <v>6</v>
      </c>
      <c r="D41" s="22">
        <v>8</v>
      </c>
      <c r="E41" s="26">
        <f>C41+D41</f>
      </c>
      <c r="F41" s="13">
        <v>5.75</v>
      </c>
      <c r="G41" s="13">
        <v>8.25</v>
      </c>
      <c r="H41" s="24">
        <f>F41+G41</f>
      </c>
      <c r="I41" s="8"/>
    </row>
    <row x14ac:dyDescent="0.25" r="42" customHeight="1" ht="14.25">
      <c r="A42" s="25">
        <v>38</v>
      </c>
      <c r="B42" s="28">
        <v>22221968</v>
      </c>
      <c r="C42" s="13">
        <v>4.5</v>
      </c>
      <c r="D42" s="13">
        <v>2.5</v>
      </c>
      <c r="E42" s="26">
        <f>C42+D42</f>
      </c>
      <c r="F42" s="13">
        <v>1.25</v>
      </c>
      <c r="G42" s="13">
        <v>1</v>
      </c>
      <c r="H42" s="24">
        <f>F42+G42</f>
      </c>
      <c r="I42" s="8" t="s">
        <v>11</v>
      </c>
    </row>
    <row x14ac:dyDescent="0.25" r="43" customHeight="1" ht="14.25">
      <c r="A43" s="25">
        <v>39</v>
      </c>
      <c r="B43" s="28">
        <v>22221919</v>
      </c>
      <c r="C43" s="22">
        <v>5</v>
      </c>
      <c r="D43" s="13">
        <v>6.5</v>
      </c>
      <c r="E43" s="23">
        <f>C43+D43</f>
      </c>
      <c r="F43" s="13">
        <v>4</v>
      </c>
      <c r="G43" s="13">
        <v>2.5</v>
      </c>
      <c r="H43" s="24">
        <f>F43+G43</f>
      </c>
      <c r="I43" s="8"/>
    </row>
    <row x14ac:dyDescent="0.25" r="44" customHeight="1" ht="20.25">
      <c r="A44" s="15" t="s">
        <v>12</v>
      </c>
      <c r="B44" s="15"/>
      <c r="C44" s="18"/>
      <c r="D44" s="15"/>
      <c r="E44" s="29"/>
      <c r="F44" s="13"/>
      <c r="G44" s="13"/>
      <c r="H44" s="14"/>
      <c r="I44" s="8"/>
    </row>
    <row x14ac:dyDescent="0.25" r="45" customHeight="1" ht="14.25">
      <c r="A45" s="22">
        <v>40</v>
      </c>
      <c r="B45" s="17">
        <v>22121886</v>
      </c>
      <c r="C45" s="22">
        <v>2</v>
      </c>
      <c r="D45" s="22">
        <v>0</v>
      </c>
      <c r="E45" s="26">
        <f>C45+D45</f>
      </c>
      <c r="F45" s="13"/>
      <c r="G45" s="13"/>
      <c r="H45" s="14"/>
      <c r="I45" s="8" t="s">
        <v>13</v>
      </c>
    </row>
    <row x14ac:dyDescent="0.25" r="46" customHeight="1" ht="14.25">
      <c r="A46" s="22">
        <v>41</v>
      </c>
      <c r="B46" s="17">
        <v>22122235</v>
      </c>
      <c r="C46" s="13">
        <v>7.5</v>
      </c>
      <c r="D46" s="22">
        <v>8</v>
      </c>
      <c r="E46" s="23">
        <f>C46+D46</f>
      </c>
      <c r="F46" s="13">
        <v>3.75</v>
      </c>
      <c r="G46" s="13">
        <v>5.5</v>
      </c>
      <c r="H46" s="24">
        <f>F46+G46</f>
      </c>
      <c r="I46" s="8"/>
    </row>
    <row x14ac:dyDescent="0.25" r="47" customHeight="1" ht="14.25">
      <c r="A47" s="30"/>
      <c r="B47" s="30"/>
      <c r="C47" s="7"/>
      <c r="D47" s="30"/>
      <c r="E47" s="7"/>
      <c r="F47" s="31">
        <f>(SUM(F5:F43)+F46)/40</f>
      </c>
      <c r="G47" s="7"/>
      <c r="H47" s="7"/>
      <c r="I47" s="8"/>
    </row>
    <row x14ac:dyDescent="0.25" r="48" customHeight="1" ht="14.25">
      <c r="A48" s="30"/>
      <c r="B48" s="30"/>
      <c r="C48" s="7"/>
      <c r="D48" s="30"/>
      <c r="E48" s="7"/>
      <c r="F48" s="7"/>
      <c r="G48" s="7"/>
      <c r="H48" s="32">
        <f>SUM(H5:H46)/40</f>
      </c>
      <c r="I48" s="8"/>
    </row>
    <row x14ac:dyDescent="0.25" r="49" customHeight="1" ht="14.25">
      <c r="A49" s="30"/>
      <c r="B49" s="30"/>
      <c r="C49" s="7"/>
      <c r="D49" s="30"/>
      <c r="E49" s="7"/>
      <c r="F49" s="7"/>
      <c r="G49" s="7"/>
      <c r="H49" s="7"/>
      <c r="I49" s="8"/>
    </row>
    <row x14ac:dyDescent="0.25" r="50" customHeight="1" ht="14.25">
      <c r="A50" s="30"/>
      <c r="B50" s="30"/>
      <c r="C50" s="7"/>
      <c r="D50" s="30"/>
      <c r="E50" s="7"/>
      <c r="F50" s="7"/>
      <c r="G50" s="7"/>
      <c r="H50" s="7"/>
      <c r="I50" s="8"/>
    </row>
    <row x14ac:dyDescent="0.25" r="51" customHeight="1" ht="14.25">
      <c r="A51" s="30"/>
      <c r="B51" s="30"/>
      <c r="C51" s="7"/>
      <c r="D51" s="30"/>
      <c r="E51" s="7"/>
      <c r="F51" s="7"/>
      <c r="G51" s="7"/>
      <c r="H51" s="7"/>
      <c r="I51" s="8"/>
    </row>
    <row x14ac:dyDescent="0.25" r="52" customHeight="1" ht="14.25">
      <c r="A52" s="30"/>
      <c r="B52" s="30"/>
      <c r="C52" s="7"/>
      <c r="D52" s="30"/>
      <c r="E52" s="7"/>
      <c r="F52" s="7"/>
      <c r="G52" s="7"/>
      <c r="H52" s="7"/>
      <c r="I52" s="8"/>
    </row>
    <row x14ac:dyDescent="0.25" r="53" customHeight="1" ht="14.25">
      <c r="A53" s="30"/>
      <c r="B53" s="30"/>
      <c r="C53" s="7"/>
      <c r="D53" s="30"/>
      <c r="E53" s="7"/>
      <c r="F53" s="7"/>
      <c r="G53" s="7"/>
      <c r="H53" s="7"/>
      <c r="I53" s="8"/>
    </row>
    <row x14ac:dyDescent="0.25" r="54" customHeight="1" ht="14.25">
      <c r="A54" s="30"/>
      <c r="B54" s="30"/>
      <c r="C54" s="7"/>
      <c r="D54" s="30"/>
      <c r="E54" s="7"/>
      <c r="F54" s="7"/>
      <c r="G54" s="7"/>
      <c r="H54" s="7"/>
      <c r="I54" s="8"/>
    </row>
    <row x14ac:dyDescent="0.25" r="55" customHeight="1" ht="14.25">
      <c r="A55" s="30"/>
      <c r="B55" s="30"/>
      <c r="C55" s="7"/>
      <c r="D55" s="30"/>
      <c r="E55" s="7"/>
      <c r="F55" s="7"/>
      <c r="G55" s="7"/>
      <c r="H55" s="7"/>
      <c r="I55" s="8"/>
    </row>
    <row x14ac:dyDescent="0.25" r="56" customHeight="1" ht="14.25">
      <c r="A56" s="30"/>
      <c r="B56" s="30"/>
      <c r="C56" s="7"/>
      <c r="D56" s="30"/>
      <c r="E56" s="7"/>
      <c r="F56" s="7"/>
      <c r="G56" s="7"/>
      <c r="H56" s="7"/>
      <c r="I56" s="8"/>
    </row>
    <row x14ac:dyDescent="0.25" r="57" customHeight="1" ht="14.25">
      <c r="A57" s="30"/>
      <c r="B57" s="30"/>
      <c r="C57" s="7"/>
      <c r="D57" s="30"/>
      <c r="E57" s="7"/>
      <c r="F57" s="7"/>
      <c r="G57" s="7"/>
      <c r="H57" s="7"/>
      <c r="I57" s="8"/>
    </row>
    <row x14ac:dyDescent="0.25" r="58" customHeight="1" ht="14.25">
      <c r="A58" s="30"/>
      <c r="B58" s="30"/>
      <c r="C58" s="7"/>
      <c r="D58" s="30"/>
      <c r="E58" s="7"/>
      <c r="F58" s="7"/>
      <c r="G58" s="7"/>
      <c r="H58" s="7"/>
      <c r="I58" s="8"/>
    </row>
    <row x14ac:dyDescent="0.25" r="59" customHeight="1" ht="14.25">
      <c r="A59" s="30"/>
      <c r="B59" s="30"/>
      <c r="C59" s="7"/>
      <c r="D59" s="30"/>
      <c r="E59" s="7"/>
      <c r="F59" s="7"/>
      <c r="G59" s="7"/>
      <c r="H59" s="7"/>
      <c r="I59" s="8"/>
    </row>
    <row x14ac:dyDescent="0.25" r="60" customHeight="1" ht="14.25">
      <c r="A60" s="30"/>
      <c r="B60" s="30"/>
      <c r="C60" s="7"/>
      <c r="D60" s="30"/>
      <c r="E60" s="7"/>
      <c r="F60" s="7"/>
      <c r="G60" s="7"/>
      <c r="H60" s="7"/>
      <c r="I60" s="8"/>
    </row>
    <row x14ac:dyDescent="0.25" r="61" customHeight="1" ht="14.25">
      <c r="A61" s="30"/>
      <c r="B61" s="30"/>
      <c r="C61" s="7"/>
      <c r="D61" s="30"/>
      <c r="E61" s="7"/>
      <c r="F61" s="7"/>
      <c r="G61" s="7"/>
      <c r="H61" s="7"/>
      <c r="I61" s="8"/>
    </row>
    <row x14ac:dyDescent="0.25" r="62" customHeight="1" ht="14.25">
      <c r="A62" s="30"/>
      <c r="B62" s="30"/>
      <c r="C62" s="7"/>
      <c r="D62" s="30"/>
      <c r="E62" s="7"/>
      <c r="F62" s="7"/>
      <c r="G62" s="7"/>
      <c r="H62" s="7"/>
      <c r="I62" s="8"/>
    </row>
    <row x14ac:dyDescent="0.25" r="63" customHeight="1" ht="14.25">
      <c r="A63" s="30"/>
      <c r="B63" s="30"/>
      <c r="C63" s="7"/>
      <c r="D63" s="30"/>
      <c r="E63" s="7"/>
      <c r="F63" s="7"/>
      <c r="G63" s="7"/>
      <c r="H63" s="7"/>
      <c r="I63" s="8"/>
    </row>
    <row x14ac:dyDescent="0.25" r="64" customHeight="1" ht="14.25">
      <c r="A64" s="30"/>
      <c r="B64" s="30"/>
      <c r="C64" s="7"/>
      <c r="D64" s="30"/>
      <c r="E64" s="7"/>
      <c r="F64" s="7"/>
      <c r="G64" s="7"/>
      <c r="H64" s="7"/>
      <c r="I64" s="8"/>
    </row>
    <row x14ac:dyDescent="0.25" r="65" customHeight="1" ht="14.25">
      <c r="A65" s="30"/>
      <c r="B65" s="30"/>
      <c r="C65" s="7"/>
      <c r="D65" s="30"/>
      <c r="E65" s="7"/>
      <c r="F65" s="7"/>
      <c r="G65" s="7"/>
      <c r="H65" s="7"/>
      <c r="I65" s="8"/>
    </row>
    <row x14ac:dyDescent="0.25" r="66" customHeight="1" ht="14.25">
      <c r="A66" s="30"/>
      <c r="B66" s="30"/>
      <c r="C66" s="7"/>
      <c r="D66" s="30"/>
      <c r="E66" s="7"/>
      <c r="F66" s="7"/>
      <c r="G66" s="7"/>
      <c r="H66" s="7"/>
      <c r="I66" s="8"/>
    </row>
    <row x14ac:dyDescent="0.25" r="67" customHeight="1" ht="14.25">
      <c r="A67" s="30"/>
      <c r="B67" s="30"/>
      <c r="C67" s="7"/>
      <c r="D67" s="30"/>
      <c r="E67" s="7"/>
      <c r="F67" s="7"/>
      <c r="G67" s="7"/>
      <c r="H67" s="7"/>
      <c r="I67" s="8"/>
    </row>
    <row x14ac:dyDescent="0.25" r="68" customHeight="1" ht="14.25">
      <c r="A68" s="30"/>
      <c r="B68" s="30"/>
      <c r="C68" s="7"/>
      <c r="D68" s="30"/>
      <c r="E68" s="7"/>
      <c r="F68" s="7"/>
      <c r="G68" s="7"/>
      <c r="H68" s="7"/>
      <c r="I68" s="8"/>
    </row>
    <row x14ac:dyDescent="0.25" r="69" customHeight="1" ht="14.25">
      <c r="A69" s="30"/>
      <c r="B69" s="30"/>
      <c r="C69" s="7"/>
      <c r="D69" s="30"/>
      <c r="E69" s="7"/>
      <c r="F69" s="7"/>
      <c r="G69" s="7"/>
      <c r="H69" s="7"/>
      <c r="I69" s="8"/>
    </row>
    <row x14ac:dyDescent="0.25" r="70" customHeight="1" ht="14.25">
      <c r="A70" s="30"/>
      <c r="B70" s="30"/>
      <c r="C70" s="7"/>
      <c r="D70" s="30"/>
      <c r="E70" s="7"/>
      <c r="F70" s="7"/>
      <c r="G70" s="7"/>
      <c r="H70" s="7"/>
      <c r="I70" s="8"/>
    </row>
    <row x14ac:dyDescent="0.25" r="71" customHeight="1" ht="14.25">
      <c r="A71" s="30"/>
      <c r="B71" s="30"/>
      <c r="C71" s="7"/>
      <c r="D71" s="30"/>
      <c r="E71" s="7"/>
      <c r="F71" s="7"/>
      <c r="G71" s="7"/>
      <c r="H71" s="7"/>
      <c r="I71" s="8"/>
    </row>
    <row x14ac:dyDescent="0.25" r="72" customHeight="1" ht="14.25">
      <c r="A72" s="30"/>
      <c r="B72" s="30"/>
      <c r="C72" s="7"/>
      <c r="D72" s="30"/>
      <c r="E72" s="7"/>
      <c r="F72" s="7"/>
      <c r="G72" s="7"/>
      <c r="H72" s="7"/>
      <c r="I72" s="8"/>
    </row>
    <row x14ac:dyDescent="0.25" r="73" customHeight="1" ht="14.25">
      <c r="A73" s="30"/>
      <c r="B73" s="30"/>
      <c r="C73" s="7"/>
      <c r="D73" s="30"/>
      <c r="E73" s="7"/>
      <c r="F73" s="7"/>
      <c r="G73" s="7"/>
      <c r="H73" s="7"/>
      <c r="I73" s="8"/>
    </row>
    <row x14ac:dyDescent="0.25" r="74" customHeight="1" ht="14.25">
      <c r="A74" s="30"/>
      <c r="B74" s="30"/>
      <c r="C74" s="7"/>
      <c r="D74" s="30"/>
      <c r="E74" s="7"/>
      <c r="F74" s="7"/>
      <c r="G74" s="7"/>
      <c r="H74" s="7"/>
      <c r="I74" s="8"/>
    </row>
    <row x14ac:dyDescent="0.25" r="75" customHeight="1" ht="14.25">
      <c r="A75" s="30"/>
      <c r="B75" s="30"/>
      <c r="C75" s="7"/>
      <c r="D75" s="30"/>
      <c r="E75" s="7"/>
      <c r="F75" s="7"/>
      <c r="G75" s="7"/>
      <c r="H75" s="7"/>
      <c r="I75" s="8"/>
    </row>
    <row x14ac:dyDescent="0.25" r="76" customHeight="1" ht="14.25">
      <c r="A76" s="30"/>
      <c r="B76" s="30"/>
      <c r="C76" s="7"/>
      <c r="D76" s="30"/>
      <c r="E76" s="7"/>
      <c r="F76" s="7"/>
      <c r="G76" s="7"/>
      <c r="H76" s="7"/>
      <c r="I76" s="8"/>
    </row>
    <row x14ac:dyDescent="0.25" r="77" customHeight="1" ht="14.25">
      <c r="A77" s="30"/>
      <c r="B77" s="30"/>
      <c r="C77" s="7"/>
      <c r="D77" s="30"/>
      <c r="E77" s="7"/>
      <c r="F77" s="7"/>
      <c r="G77" s="7"/>
      <c r="H77" s="7"/>
      <c r="I77" s="8"/>
    </row>
    <row x14ac:dyDescent="0.25" r="78" customHeight="1" ht="14.25">
      <c r="A78" s="30"/>
      <c r="B78" s="30"/>
      <c r="C78" s="7"/>
      <c r="D78" s="30"/>
      <c r="E78" s="7"/>
      <c r="F78" s="7"/>
      <c r="G78" s="7"/>
      <c r="H78" s="7"/>
      <c r="I78" s="8"/>
    </row>
    <row x14ac:dyDescent="0.25" r="79" customHeight="1" ht="14.25">
      <c r="A79" s="30"/>
      <c r="B79" s="30"/>
      <c r="C79" s="7"/>
      <c r="D79" s="30"/>
      <c r="E79" s="7"/>
      <c r="F79" s="7"/>
      <c r="G79" s="7"/>
      <c r="H79" s="7"/>
      <c r="I79" s="8"/>
    </row>
    <row x14ac:dyDescent="0.25" r="80" customHeight="1" ht="14.25">
      <c r="A80" s="30"/>
      <c r="B80" s="30"/>
      <c r="C80" s="7"/>
      <c r="D80" s="30"/>
      <c r="E80" s="7"/>
      <c r="F80" s="7"/>
      <c r="G80" s="7"/>
      <c r="H80" s="7"/>
      <c r="I80" s="8"/>
    </row>
    <row x14ac:dyDescent="0.25" r="81" customHeight="1" ht="14.25">
      <c r="A81" s="30"/>
      <c r="B81" s="30"/>
      <c r="C81" s="7"/>
      <c r="D81" s="30"/>
      <c r="E81" s="7"/>
      <c r="F81" s="7"/>
      <c r="G81" s="7"/>
      <c r="H81" s="7"/>
      <c r="I81" s="8"/>
    </row>
    <row x14ac:dyDescent="0.25" r="82" customHeight="1" ht="14.25">
      <c r="A82" s="30"/>
      <c r="B82" s="30"/>
      <c r="C82" s="7"/>
      <c r="D82" s="30"/>
      <c r="E82" s="7"/>
      <c r="F82" s="7"/>
      <c r="G82" s="7"/>
      <c r="H82" s="7"/>
      <c r="I82" s="8"/>
    </row>
    <row x14ac:dyDescent="0.25" r="83" customHeight="1" ht="14.25">
      <c r="A83" s="30"/>
      <c r="B83" s="30"/>
      <c r="C83" s="7"/>
      <c r="D83" s="30"/>
      <c r="E83" s="7"/>
      <c r="F83" s="7"/>
      <c r="G83" s="7"/>
      <c r="H83" s="7"/>
      <c r="I83" s="8"/>
    </row>
    <row x14ac:dyDescent="0.25" r="84" customHeight="1" ht="14.25">
      <c r="A84" s="30"/>
      <c r="B84" s="30"/>
      <c r="C84" s="7"/>
      <c r="D84" s="30"/>
      <c r="E84" s="7"/>
      <c r="F84" s="7"/>
      <c r="G84" s="7"/>
      <c r="H84" s="7"/>
      <c r="I84" s="8"/>
    </row>
    <row x14ac:dyDescent="0.25" r="85" customHeight="1" ht="14.25">
      <c r="A85" s="30"/>
      <c r="B85" s="30"/>
      <c r="C85" s="7"/>
      <c r="D85" s="30"/>
      <c r="E85" s="7"/>
      <c r="F85" s="7"/>
      <c r="G85" s="7"/>
      <c r="H85" s="7"/>
      <c r="I85" s="8"/>
    </row>
    <row x14ac:dyDescent="0.25" r="86" customHeight="1" ht="14.25">
      <c r="A86" s="30"/>
      <c r="B86" s="30"/>
      <c r="C86" s="7"/>
      <c r="D86" s="30"/>
      <c r="E86" s="7"/>
      <c r="F86" s="7"/>
      <c r="G86" s="7"/>
      <c r="H86" s="7"/>
      <c r="I86" s="8"/>
    </row>
    <row x14ac:dyDescent="0.25" r="87" customHeight="1" ht="14.25">
      <c r="A87" s="30"/>
      <c r="B87" s="30"/>
      <c r="C87" s="7"/>
      <c r="D87" s="30"/>
      <c r="E87" s="7"/>
      <c r="F87" s="7"/>
      <c r="G87" s="7"/>
      <c r="H87" s="7"/>
      <c r="I87" s="8"/>
    </row>
    <row x14ac:dyDescent="0.25" r="88" customHeight="1" ht="14.25">
      <c r="A88" s="30"/>
      <c r="B88" s="30"/>
      <c r="C88" s="7"/>
      <c r="D88" s="30"/>
      <c r="E88" s="7"/>
      <c r="F88" s="7"/>
      <c r="G88" s="7"/>
      <c r="H88" s="7"/>
      <c r="I88" s="8"/>
    </row>
    <row x14ac:dyDescent="0.25" r="89" customHeight="1" ht="14.25">
      <c r="A89" s="30"/>
      <c r="B89" s="30"/>
      <c r="C89" s="7"/>
      <c r="D89" s="30"/>
      <c r="E89" s="7"/>
      <c r="F89" s="7"/>
      <c r="G89" s="7"/>
      <c r="H89" s="7"/>
      <c r="I89" s="8"/>
    </row>
    <row x14ac:dyDescent="0.25" r="90" customHeight="1" ht="14.25">
      <c r="A90" s="30"/>
      <c r="B90" s="30"/>
      <c r="C90" s="7"/>
      <c r="D90" s="30"/>
      <c r="E90" s="7"/>
      <c r="F90" s="7"/>
      <c r="G90" s="7"/>
      <c r="H90" s="7"/>
      <c r="I90" s="8"/>
    </row>
    <row x14ac:dyDescent="0.25" r="91" customHeight="1" ht="14.25">
      <c r="A91" s="30"/>
      <c r="B91" s="30"/>
      <c r="C91" s="7"/>
      <c r="D91" s="30"/>
      <c r="E91" s="7"/>
      <c r="F91" s="7"/>
      <c r="G91" s="7"/>
      <c r="H91" s="7"/>
      <c r="I91" s="8"/>
    </row>
    <row x14ac:dyDescent="0.25" r="92" customHeight="1" ht="14.25">
      <c r="A92" s="30"/>
      <c r="B92" s="30"/>
      <c r="C92" s="7"/>
      <c r="D92" s="30"/>
      <c r="E92" s="7"/>
      <c r="F92" s="7"/>
      <c r="G92" s="7"/>
      <c r="H92" s="7"/>
      <c r="I92" s="8"/>
    </row>
    <row x14ac:dyDescent="0.25" r="93" customHeight="1" ht="14.25">
      <c r="A93" s="30"/>
      <c r="B93" s="30"/>
      <c r="C93" s="7"/>
      <c r="D93" s="30"/>
      <c r="E93" s="7"/>
      <c r="F93" s="7"/>
      <c r="G93" s="7"/>
      <c r="H93" s="7"/>
      <c r="I93" s="8"/>
    </row>
    <row x14ac:dyDescent="0.25" r="94" customHeight="1" ht="14.25">
      <c r="A94" s="30"/>
      <c r="B94" s="30"/>
      <c r="C94" s="7"/>
      <c r="D94" s="30"/>
      <c r="E94" s="7"/>
      <c r="F94" s="7"/>
      <c r="G94" s="7"/>
      <c r="H94" s="7"/>
      <c r="I94" s="8"/>
    </row>
    <row x14ac:dyDescent="0.25" r="95" customHeight="1" ht="14.25">
      <c r="A95" s="30"/>
      <c r="B95" s="30"/>
      <c r="C95" s="7"/>
      <c r="D95" s="30"/>
      <c r="E95" s="7"/>
      <c r="F95" s="7"/>
      <c r="G95" s="7"/>
      <c r="H95" s="7"/>
      <c r="I95" s="8"/>
    </row>
    <row x14ac:dyDescent="0.25" r="96" customHeight="1" ht="14.25">
      <c r="A96" s="30"/>
      <c r="B96" s="30"/>
      <c r="C96" s="7"/>
      <c r="D96" s="30"/>
      <c r="E96" s="7"/>
      <c r="F96" s="7"/>
      <c r="G96" s="7"/>
      <c r="H96" s="7"/>
      <c r="I96" s="8"/>
    </row>
    <row x14ac:dyDescent="0.25" r="97" customHeight="1" ht="14.25">
      <c r="A97" s="30"/>
      <c r="B97" s="30"/>
      <c r="C97" s="7"/>
      <c r="D97" s="30"/>
      <c r="E97" s="7"/>
      <c r="F97" s="7"/>
      <c r="G97" s="7"/>
      <c r="H97" s="7"/>
      <c r="I97" s="8"/>
    </row>
    <row x14ac:dyDescent="0.25" r="98" customHeight="1" ht="14.25">
      <c r="A98" s="30"/>
      <c r="B98" s="30"/>
      <c r="C98" s="7"/>
      <c r="D98" s="30"/>
      <c r="E98" s="7"/>
      <c r="F98" s="7"/>
      <c r="G98" s="7"/>
      <c r="H98" s="7"/>
      <c r="I98" s="8"/>
    </row>
    <row x14ac:dyDescent="0.25" r="99" customHeight="1" ht="14.25">
      <c r="A99" s="30"/>
      <c r="B99" s="30"/>
      <c r="C99" s="7"/>
      <c r="D99" s="30"/>
      <c r="E99" s="7"/>
      <c r="F99" s="7"/>
      <c r="G99" s="7"/>
      <c r="H99" s="7"/>
      <c r="I99" s="8"/>
    </row>
    <row x14ac:dyDescent="0.25" r="100" customHeight="1" ht="14.25">
      <c r="A100" s="30"/>
      <c r="B100" s="30"/>
      <c r="C100" s="7"/>
      <c r="D100" s="30"/>
      <c r="E100" s="7"/>
      <c r="F100" s="7"/>
      <c r="G100" s="7"/>
      <c r="H100" s="7"/>
      <c r="I100" s="8"/>
    </row>
    <row x14ac:dyDescent="0.25" r="101" customHeight="1" ht="14.25">
      <c r="A101" s="30"/>
      <c r="B101" s="30"/>
      <c r="C101" s="7"/>
      <c r="D101" s="30"/>
      <c r="E101" s="7"/>
      <c r="F101" s="7"/>
      <c r="G101" s="7"/>
      <c r="H101" s="7"/>
      <c r="I101" s="8"/>
    </row>
    <row x14ac:dyDescent="0.25" r="102" customHeight="1" ht="14.25">
      <c r="A102" s="30"/>
      <c r="B102" s="30"/>
      <c r="C102" s="7"/>
      <c r="D102" s="30"/>
      <c r="E102" s="7"/>
      <c r="F102" s="7"/>
      <c r="G102" s="7"/>
      <c r="H102" s="7"/>
      <c r="I102" s="8"/>
    </row>
    <row x14ac:dyDescent="0.25" r="103" customHeight="1" ht="14.25">
      <c r="A103" s="30"/>
      <c r="B103" s="30"/>
      <c r="C103" s="7"/>
      <c r="D103" s="30"/>
      <c r="E103" s="7"/>
      <c r="F103" s="7"/>
      <c r="G103" s="7"/>
      <c r="H103" s="7"/>
      <c r="I103" s="8"/>
    </row>
    <row x14ac:dyDescent="0.25" r="104" customHeight="1" ht="14.25">
      <c r="A104" s="30"/>
      <c r="B104" s="30"/>
      <c r="C104" s="7"/>
      <c r="D104" s="30"/>
      <c r="E104" s="7"/>
      <c r="F104" s="7"/>
      <c r="G104" s="7"/>
      <c r="H104" s="7"/>
      <c r="I104" s="8"/>
    </row>
    <row x14ac:dyDescent="0.25" r="105" customHeight="1" ht="14.25">
      <c r="A105" s="30"/>
      <c r="B105" s="30"/>
      <c r="C105" s="7"/>
      <c r="D105" s="30"/>
      <c r="E105" s="7"/>
      <c r="F105" s="7"/>
      <c r="G105" s="7"/>
      <c r="H105" s="7"/>
      <c r="I105" s="8"/>
    </row>
    <row x14ac:dyDescent="0.25" r="106" customHeight="1" ht="14.25">
      <c r="A106" s="30"/>
      <c r="B106" s="30"/>
      <c r="C106" s="7"/>
      <c r="D106" s="30"/>
      <c r="E106" s="7"/>
      <c r="F106" s="7"/>
      <c r="G106" s="7"/>
      <c r="H106" s="7"/>
      <c r="I106" s="8"/>
    </row>
    <row x14ac:dyDescent="0.25" r="107" customHeight="1" ht="14.25">
      <c r="A107" s="30"/>
      <c r="B107" s="30"/>
      <c r="C107" s="7"/>
      <c r="D107" s="30"/>
      <c r="E107" s="7"/>
      <c r="F107" s="7"/>
      <c r="G107" s="7"/>
      <c r="H107" s="7"/>
      <c r="I107" s="8"/>
    </row>
    <row x14ac:dyDescent="0.25" r="108" customHeight="1" ht="14.25">
      <c r="A108" s="30"/>
      <c r="B108" s="30"/>
      <c r="C108" s="7"/>
      <c r="D108" s="30"/>
      <c r="E108" s="7"/>
      <c r="F108" s="7"/>
      <c r="G108" s="7"/>
      <c r="H108" s="7"/>
      <c r="I108" s="8"/>
    </row>
    <row x14ac:dyDescent="0.25" r="109" customHeight="1" ht="14.25">
      <c r="A109" s="30"/>
      <c r="B109" s="30"/>
      <c r="C109" s="7"/>
      <c r="D109" s="30"/>
      <c r="E109" s="7"/>
      <c r="F109" s="7"/>
      <c r="G109" s="7"/>
      <c r="H109" s="7"/>
      <c r="I109" s="8"/>
    </row>
    <row x14ac:dyDescent="0.25" r="110" customHeight="1" ht="14.25">
      <c r="A110" s="30"/>
      <c r="B110" s="30"/>
      <c r="C110" s="7"/>
      <c r="D110" s="30"/>
      <c r="E110" s="7"/>
      <c r="F110" s="7"/>
      <c r="G110" s="7"/>
      <c r="H110" s="7"/>
      <c r="I110" s="8"/>
    </row>
    <row x14ac:dyDescent="0.25" r="111" customHeight="1" ht="14.25">
      <c r="A111" s="30"/>
      <c r="B111" s="30"/>
      <c r="C111" s="7"/>
      <c r="D111" s="30"/>
      <c r="E111" s="7"/>
      <c r="F111" s="7"/>
      <c r="G111" s="7"/>
      <c r="H111" s="7"/>
      <c r="I111" s="8"/>
    </row>
    <row x14ac:dyDescent="0.25" r="112" customHeight="1" ht="14.25">
      <c r="A112" s="30"/>
      <c r="B112" s="30"/>
      <c r="C112" s="7"/>
      <c r="D112" s="30"/>
      <c r="E112" s="7"/>
      <c r="F112" s="7"/>
      <c r="G112" s="7"/>
      <c r="H112" s="7"/>
      <c r="I112" s="8"/>
    </row>
    <row x14ac:dyDescent="0.25" r="113" customHeight="1" ht="14.25">
      <c r="A113" s="30"/>
      <c r="B113" s="30"/>
      <c r="C113" s="7"/>
      <c r="D113" s="30"/>
      <c r="E113" s="7"/>
      <c r="F113" s="7"/>
      <c r="G113" s="7"/>
      <c r="H113" s="7"/>
      <c r="I113" s="8"/>
    </row>
    <row x14ac:dyDescent="0.25" r="114" customHeight="1" ht="14.25">
      <c r="A114" s="30"/>
      <c r="B114" s="30"/>
      <c r="C114" s="7"/>
      <c r="D114" s="30"/>
      <c r="E114" s="7"/>
      <c r="F114" s="7"/>
      <c r="G114" s="7"/>
      <c r="H114" s="7"/>
      <c r="I114" s="8"/>
    </row>
    <row x14ac:dyDescent="0.25" r="115" customHeight="1" ht="14.25">
      <c r="A115" s="30"/>
      <c r="B115" s="30"/>
      <c r="C115" s="7"/>
      <c r="D115" s="30"/>
      <c r="E115" s="7"/>
      <c r="F115" s="7"/>
      <c r="G115" s="7"/>
      <c r="H115" s="7"/>
      <c r="I115" s="8"/>
    </row>
    <row x14ac:dyDescent="0.25" r="116" customHeight="1" ht="14.25">
      <c r="A116" s="30"/>
      <c r="B116" s="30"/>
      <c r="C116" s="7"/>
      <c r="D116" s="30"/>
      <c r="E116" s="7"/>
      <c r="F116" s="7"/>
      <c r="G116" s="7"/>
      <c r="H116" s="7"/>
      <c r="I116" s="8"/>
    </row>
    <row x14ac:dyDescent="0.25" r="117" customHeight="1" ht="14.25">
      <c r="A117" s="30"/>
      <c r="B117" s="30"/>
      <c r="C117" s="7"/>
      <c r="D117" s="30"/>
      <c r="E117" s="7"/>
      <c r="F117" s="7"/>
      <c r="G117" s="7"/>
      <c r="H117" s="7"/>
      <c r="I117" s="8"/>
    </row>
    <row x14ac:dyDescent="0.25" r="118" customHeight="1" ht="14.25">
      <c r="A118" s="30"/>
      <c r="B118" s="30"/>
      <c r="C118" s="7"/>
      <c r="D118" s="30"/>
      <c r="E118" s="7"/>
      <c r="F118" s="7"/>
      <c r="G118" s="7"/>
      <c r="H118" s="7"/>
      <c r="I118" s="8"/>
    </row>
    <row x14ac:dyDescent="0.25" r="119" customHeight="1" ht="14.25">
      <c r="A119" s="30"/>
      <c r="B119" s="30"/>
      <c r="C119" s="7"/>
      <c r="D119" s="30"/>
      <c r="E119" s="7"/>
      <c r="F119" s="7"/>
      <c r="G119" s="7"/>
      <c r="H119" s="7"/>
      <c r="I119" s="8"/>
    </row>
    <row x14ac:dyDescent="0.25" r="120" customHeight="1" ht="14.25">
      <c r="A120" s="30"/>
      <c r="B120" s="30"/>
      <c r="C120" s="7"/>
      <c r="D120" s="30"/>
      <c r="E120" s="7"/>
      <c r="F120" s="7"/>
      <c r="G120" s="7"/>
      <c r="H120" s="7"/>
      <c r="I120" s="8"/>
    </row>
    <row x14ac:dyDescent="0.25" r="121" customHeight="1" ht="14.25">
      <c r="A121" s="30"/>
      <c r="B121" s="30"/>
      <c r="C121" s="7"/>
      <c r="D121" s="30"/>
      <c r="E121" s="7"/>
      <c r="F121" s="7"/>
      <c r="G121" s="7"/>
      <c r="H121" s="7"/>
      <c r="I121" s="8"/>
    </row>
    <row x14ac:dyDescent="0.25" r="122" customHeight="1" ht="14.25">
      <c r="A122" s="30"/>
      <c r="B122" s="30"/>
      <c r="C122" s="7"/>
      <c r="D122" s="30"/>
      <c r="E122" s="7"/>
      <c r="F122" s="7"/>
      <c r="G122" s="7"/>
      <c r="H122" s="7"/>
      <c r="I122" s="8"/>
    </row>
    <row x14ac:dyDescent="0.25" r="123" customHeight="1" ht="14.25">
      <c r="A123" s="30"/>
      <c r="B123" s="30"/>
      <c r="C123" s="7"/>
      <c r="D123" s="30"/>
      <c r="E123" s="7"/>
      <c r="F123" s="7"/>
      <c r="G123" s="7"/>
      <c r="H123" s="7"/>
      <c r="I123" s="8"/>
    </row>
    <row x14ac:dyDescent="0.25" r="124" customHeight="1" ht="14.25">
      <c r="A124" s="30"/>
      <c r="B124" s="30"/>
      <c r="C124" s="7"/>
      <c r="D124" s="30"/>
      <c r="E124" s="7"/>
      <c r="F124" s="7"/>
      <c r="G124" s="7"/>
      <c r="H124" s="7"/>
      <c r="I124" s="8"/>
    </row>
    <row x14ac:dyDescent="0.25" r="125" customHeight="1" ht="14.25">
      <c r="A125" s="30"/>
      <c r="B125" s="30"/>
      <c r="C125" s="7"/>
      <c r="D125" s="30"/>
      <c r="E125" s="7"/>
      <c r="F125" s="7"/>
      <c r="G125" s="7"/>
      <c r="H125" s="7"/>
      <c r="I125" s="8"/>
    </row>
    <row x14ac:dyDescent="0.25" r="126" customHeight="1" ht="14.25">
      <c r="A126" s="30"/>
      <c r="B126" s="30"/>
      <c r="C126" s="7"/>
      <c r="D126" s="30"/>
      <c r="E126" s="7"/>
      <c r="F126" s="7"/>
      <c r="G126" s="7"/>
      <c r="H126" s="7"/>
      <c r="I126" s="8"/>
    </row>
    <row x14ac:dyDescent="0.25" r="127" customHeight="1" ht="14.25">
      <c r="A127" s="30"/>
      <c r="B127" s="30"/>
      <c r="C127" s="7"/>
      <c r="D127" s="30"/>
      <c r="E127" s="7"/>
      <c r="F127" s="7"/>
      <c r="G127" s="7"/>
      <c r="H127" s="7"/>
      <c r="I127" s="8"/>
    </row>
    <row x14ac:dyDescent="0.25" r="128" customHeight="1" ht="14.25">
      <c r="A128" s="30"/>
      <c r="B128" s="30"/>
      <c r="C128" s="7"/>
      <c r="D128" s="30"/>
      <c r="E128" s="7"/>
      <c r="F128" s="7"/>
      <c r="G128" s="7"/>
      <c r="H128" s="7"/>
      <c r="I128" s="8"/>
    </row>
    <row x14ac:dyDescent="0.25" r="129" customHeight="1" ht="14.25">
      <c r="A129" s="30"/>
      <c r="B129" s="30"/>
      <c r="C129" s="7"/>
      <c r="D129" s="30"/>
      <c r="E129" s="7"/>
      <c r="F129" s="7"/>
      <c r="G129" s="7"/>
      <c r="H129" s="7"/>
      <c r="I129" s="8"/>
    </row>
    <row x14ac:dyDescent="0.25" r="130" customHeight="1" ht="14.25">
      <c r="A130" s="30"/>
      <c r="B130" s="30"/>
      <c r="C130" s="7"/>
      <c r="D130" s="30"/>
      <c r="E130" s="7"/>
      <c r="F130" s="7"/>
      <c r="G130" s="7"/>
      <c r="H130" s="7"/>
      <c r="I130" s="8"/>
    </row>
    <row x14ac:dyDescent="0.25" r="131" customHeight="1" ht="14.25">
      <c r="A131" s="30"/>
      <c r="B131" s="30"/>
      <c r="C131" s="7"/>
      <c r="D131" s="30"/>
      <c r="E131" s="7"/>
      <c r="F131" s="7"/>
      <c r="G131" s="7"/>
      <c r="H131" s="7"/>
      <c r="I131" s="8"/>
    </row>
    <row x14ac:dyDescent="0.25" r="132" customHeight="1" ht="14.25">
      <c r="A132" s="30"/>
      <c r="B132" s="30"/>
      <c r="C132" s="7"/>
      <c r="D132" s="30"/>
      <c r="E132" s="7"/>
      <c r="F132" s="7"/>
      <c r="G132" s="7"/>
      <c r="H132" s="7"/>
      <c r="I132" s="8"/>
    </row>
    <row x14ac:dyDescent="0.25" r="133" customHeight="1" ht="14.25">
      <c r="A133" s="30"/>
      <c r="B133" s="30"/>
      <c r="C133" s="7"/>
      <c r="D133" s="30"/>
      <c r="E133" s="7"/>
      <c r="F133" s="7"/>
      <c r="G133" s="7"/>
      <c r="H133" s="7"/>
      <c r="I133" s="8"/>
    </row>
    <row x14ac:dyDescent="0.25" r="134" customHeight="1" ht="14.25">
      <c r="A134" s="30"/>
      <c r="B134" s="30"/>
      <c r="C134" s="7"/>
      <c r="D134" s="30"/>
      <c r="E134" s="7"/>
      <c r="F134" s="7"/>
      <c r="G134" s="7"/>
      <c r="H134" s="7"/>
      <c r="I134" s="8"/>
    </row>
    <row x14ac:dyDescent="0.25" r="135" customHeight="1" ht="14.25">
      <c r="A135" s="30"/>
      <c r="B135" s="30"/>
      <c r="C135" s="7"/>
      <c r="D135" s="30"/>
      <c r="E135" s="7"/>
      <c r="F135" s="7"/>
      <c r="G135" s="7"/>
      <c r="H135" s="7"/>
      <c r="I135" s="8"/>
    </row>
    <row x14ac:dyDescent="0.25" r="136" customHeight="1" ht="14.25">
      <c r="A136" s="30"/>
      <c r="B136" s="30"/>
      <c r="C136" s="7"/>
      <c r="D136" s="30"/>
      <c r="E136" s="7"/>
      <c r="F136" s="7"/>
      <c r="G136" s="7"/>
      <c r="H136" s="7"/>
      <c r="I136" s="8"/>
    </row>
    <row x14ac:dyDescent="0.25" r="137" customHeight="1" ht="14.25">
      <c r="A137" s="30"/>
      <c r="B137" s="30"/>
      <c r="C137" s="7"/>
      <c r="D137" s="30"/>
      <c r="E137" s="7"/>
      <c r="F137" s="7"/>
      <c r="G137" s="7"/>
      <c r="H137" s="7"/>
      <c r="I137" s="8"/>
    </row>
    <row x14ac:dyDescent="0.25" r="138" customHeight="1" ht="14.25">
      <c r="A138" s="30"/>
      <c r="B138" s="30"/>
      <c r="C138" s="7"/>
      <c r="D138" s="30"/>
      <c r="E138" s="7"/>
      <c r="F138" s="7"/>
      <c r="G138" s="7"/>
      <c r="H138" s="7"/>
      <c r="I138" s="8"/>
    </row>
    <row x14ac:dyDescent="0.25" r="139" customHeight="1" ht="14.25">
      <c r="A139" s="30"/>
      <c r="B139" s="30"/>
      <c r="C139" s="7"/>
      <c r="D139" s="30"/>
      <c r="E139" s="7"/>
      <c r="F139" s="7"/>
      <c r="G139" s="7"/>
      <c r="H139" s="7"/>
      <c r="I139" s="8"/>
    </row>
    <row x14ac:dyDescent="0.25" r="140" customHeight="1" ht="14.25">
      <c r="A140" s="30"/>
      <c r="B140" s="30"/>
      <c r="C140" s="7"/>
      <c r="D140" s="30"/>
      <c r="E140" s="7"/>
      <c r="F140" s="7"/>
      <c r="G140" s="7"/>
      <c r="H140" s="7"/>
      <c r="I140" s="8"/>
    </row>
    <row x14ac:dyDescent="0.25" r="141" customHeight="1" ht="14.25">
      <c r="A141" s="30"/>
      <c r="B141" s="30"/>
      <c r="C141" s="7"/>
      <c r="D141" s="30"/>
      <c r="E141" s="7"/>
      <c r="F141" s="7"/>
      <c r="G141" s="7"/>
      <c r="H141" s="7"/>
      <c r="I141" s="8"/>
    </row>
    <row x14ac:dyDescent="0.25" r="142" customHeight="1" ht="14.25">
      <c r="A142" s="30"/>
      <c r="B142" s="30"/>
      <c r="C142" s="7"/>
      <c r="D142" s="30"/>
      <c r="E142" s="7"/>
      <c r="F142" s="7"/>
      <c r="G142" s="7"/>
      <c r="H142" s="7"/>
      <c r="I142" s="8"/>
    </row>
    <row x14ac:dyDescent="0.25" r="143" customHeight="1" ht="14.25">
      <c r="A143" s="30"/>
      <c r="B143" s="30"/>
      <c r="C143" s="7"/>
      <c r="D143" s="30"/>
      <c r="E143" s="7"/>
      <c r="F143" s="7"/>
      <c r="G143" s="7"/>
      <c r="H143" s="7"/>
      <c r="I143" s="8"/>
    </row>
    <row x14ac:dyDescent="0.25" r="144" customHeight="1" ht="14.25">
      <c r="A144" s="30"/>
      <c r="B144" s="30"/>
      <c r="C144" s="7"/>
      <c r="D144" s="30"/>
      <c r="E144" s="7"/>
      <c r="F144" s="7"/>
      <c r="G144" s="7"/>
      <c r="H144" s="7"/>
      <c r="I144" s="8"/>
    </row>
    <row x14ac:dyDescent="0.25" r="145" customHeight="1" ht="14.25">
      <c r="A145" s="30"/>
      <c r="B145" s="30"/>
      <c r="C145" s="7"/>
      <c r="D145" s="30"/>
      <c r="E145" s="7"/>
      <c r="F145" s="7"/>
      <c r="G145" s="7"/>
      <c r="H145" s="7"/>
      <c r="I145" s="8"/>
    </row>
    <row x14ac:dyDescent="0.25" r="146" customHeight="1" ht="14.25">
      <c r="A146" s="30"/>
      <c r="B146" s="30"/>
      <c r="C146" s="7"/>
      <c r="D146" s="30"/>
      <c r="E146" s="7"/>
      <c r="F146" s="7"/>
      <c r="G146" s="7"/>
      <c r="H146" s="7"/>
      <c r="I146" s="8"/>
    </row>
    <row x14ac:dyDescent="0.25" r="147" customHeight="1" ht="14.25">
      <c r="A147" s="30"/>
      <c r="B147" s="30"/>
      <c r="C147" s="7"/>
      <c r="D147" s="30"/>
      <c r="E147" s="7"/>
      <c r="F147" s="7"/>
      <c r="G147" s="7"/>
      <c r="H147" s="7"/>
      <c r="I147" s="8"/>
    </row>
    <row x14ac:dyDescent="0.25" r="148" customHeight="1" ht="14.25">
      <c r="A148" s="30"/>
      <c r="B148" s="30"/>
      <c r="C148" s="7"/>
      <c r="D148" s="30"/>
      <c r="E148" s="7"/>
      <c r="F148" s="7"/>
      <c r="G148" s="7"/>
      <c r="H148" s="7"/>
      <c r="I148" s="8"/>
    </row>
    <row x14ac:dyDescent="0.25" r="149" customHeight="1" ht="14.25">
      <c r="A149" s="30"/>
      <c r="B149" s="30"/>
      <c r="C149" s="7"/>
      <c r="D149" s="30"/>
      <c r="E149" s="7"/>
      <c r="F149" s="7"/>
      <c r="G149" s="7"/>
      <c r="H149" s="7"/>
      <c r="I149" s="8"/>
    </row>
    <row x14ac:dyDescent="0.25" r="150" customHeight="1" ht="14.25">
      <c r="A150" s="30"/>
      <c r="B150" s="30"/>
      <c r="C150" s="7"/>
      <c r="D150" s="30"/>
      <c r="E150" s="7"/>
      <c r="F150" s="7"/>
      <c r="G150" s="7"/>
      <c r="H150" s="7"/>
      <c r="I150" s="8"/>
    </row>
    <row x14ac:dyDescent="0.25" r="151" customHeight="1" ht="14.25">
      <c r="A151" s="30"/>
      <c r="B151" s="30"/>
      <c r="C151" s="7"/>
      <c r="D151" s="30"/>
      <c r="E151" s="7"/>
      <c r="F151" s="7"/>
      <c r="G151" s="7"/>
      <c r="H151" s="7"/>
      <c r="I151" s="8"/>
    </row>
    <row x14ac:dyDescent="0.25" r="152" customHeight="1" ht="14.25">
      <c r="A152" s="30"/>
      <c r="B152" s="30"/>
      <c r="C152" s="7"/>
      <c r="D152" s="30"/>
      <c r="E152" s="7"/>
      <c r="F152" s="7"/>
      <c r="G152" s="7"/>
      <c r="H152" s="7"/>
      <c r="I152" s="8"/>
    </row>
    <row x14ac:dyDescent="0.25" r="153" customHeight="1" ht="14.25">
      <c r="A153" s="30"/>
      <c r="B153" s="30"/>
      <c r="C153" s="7"/>
      <c r="D153" s="30"/>
      <c r="E153" s="7"/>
      <c r="F153" s="7"/>
      <c r="G153" s="7"/>
      <c r="H153" s="7"/>
      <c r="I153" s="8"/>
    </row>
    <row x14ac:dyDescent="0.25" r="154" customHeight="1" ht="14.25">
      <c r="A154" s="30"/>
      <c r="B154" s="30"/>
      <c r="C154" s="7"/>
      <c r="D154" s="30"/>
      <c r="E154" s="7"/>
      <c r="F154" s="7"/>
      <c r="G154" s="7"/>
      <c r="H154" s="7"/>
      <c r="I154" s="8"/>
    </row>
    <row x14ac:dyDescent="0.25" r="155" customHeight="1" ht="14.25">
      <c r="A155" s="30"/>
      <c r="B155" s="30"/>
      <c r="C155" s="7"/>
      <c r="D155" s="30"/>
      <c r="E155" s="7"/>
      <c r="F155" s="7"/>
      <c r="G155" s="7"/>
      <c r="H155" s="7"/>
      <c r="I155" s="8"/>
    </row>
    <row x14ac:dyDescent="0.25" r="156" customHeight="1" ht="14.25">
      <c r="A156" s="30"/>
      <c r="B156" s="30"/>
      <c r="C156" s="7"/>
      <c r="D156" s="30"/>
      <c r="E156" s="7"/>
      <c r="F156" s="7"/>
      <c r="G156" s="7"/>
      <c r="H156" s="7"/>
      <c r="I156" s="8"/>
    </row>
    <row x14ac:dyDescent="0.25" r="157" customHeight="1" ht="14.25">
      <c r="A157" s="30"/>
      <c r="B157" s="30"/>
      <c r="C157" s="7"/>
      <c r="D157" s="30"/>
      <c r="E157" s="7"/>
      <c r="F157" s="7"/>
      <c r="G157" s="7"/>
      <c r="H157" s="7"/>
      <c r="I157" s="8"/>
    </row>
    <row x14ac:dyDescent="0.25" r="158" customHeight="1" ht="14.25">
      <c r="A158" s="30"/>
      <c r="B158" s="30"/>
      <c r="C158" s="7"/>
      <c r="D158" s="30"/>
      <c r="E158" s="7"/>
      <c r="F158" s="7"/>
      <c r="G158" s="7"/>
      <c r="H158" s="7"/>
      <c r="I158" s="8"/>
    </row>
    <row x14ac:dyDescent="0.25" r="159" customHeight="1" ht="14.25">
      <c r="A159" s="30"/>
      <c r="B159" s="30"/>
      <c r="C159" s="7"/>
      <c r="D159" s="30"/>
      <c r="E159" s="7"/>
      <c r="F159" s="7"/>
      <c r="G159" s="7"/>
      <c r="H159" s="7"/>
      <c r="I159" s="8"/>
    </row>
    <row x14ac:dyDescent="0.25" r="160" customHeight="1" ht="14.25">
      <c r="A160" s="30"/>
      <c r="B160" s="30"/>
      <c r="C160" s="7"/>
      <c r="D160" s="30"/>
      <c r="E160" s="7"/>
      <c r="F160" s="7"/>
      <c r="G160" s="7"/>
      <c r="H160" s="7"/>
      <c r="I160" s="8"/>
    </row>
    <row x14ac:dyDescent="0.25" r="161" customHeight="1" ht="14.25">
      <c r="A161" s="30"/>
      <c r="B161" s="30"/>
      <c r="C161" s="7"/>
      <c r="D161" s="30"/>
      <c r="E161" s="7"/>
      <c r="F161" s="7"/>
      <c r="G161" s="7"/>
      <c r="H161" s="7"/>
      <c r="I161" s="8"/>
    </row>
    <row x14ac:dyDescent="0.25" r="162" customHeight="1" ht="14.25">
      <c r="A162" s="30"/>
      <c r="B162" s="30"/>
      <c r="C162" s="7"/>
      <c r="D162" s="30"/>
      <c r="E162" s="7"/>
      <c r="F162" s="7"/>
      <c r="G162" s="7"/>
      <c r="H162" s="7"/>
      <c r="I162" s="8"/>
    </row>
    <row x14ac:dyDescent="0.25" r="163" customHeight="1" ht="14.25">
      <c r="A163" s="30"/>
      <c r="B163" s="30"/>
      <c r="C163" s="7"/>
      <c r="D163" s="30"/>
      <c r="E163" s="7"/>
      <c r="F163" s="7"/>
      <c r="G163" s="7"/>
      <c r="H163" s="7"/>
      <c r="I163" s="8"/>
    </row>
    <row x14ac:dyDescent="0.25" r="164" customHeight="1" ht="14.25">
      <c r="A164" s="30"/>
      <c r="B164" s="30"/>
      <c r="C164" s="7"/>
      <c r="D164" s="30"/>
      <c r="E164" s="7"/>
      <c r="F164" s="7"/>
      <c r="G164" s="7"/>
      <c r="H164" s="7"/>
      <c r="I164" s="8"/>
    </row>
    <row x14ac:dyDescent="0.25" r="165" customHeight="1" ht="14.25">
      <c r="A165" s="30"/>
      <c r="B165" s="30"/>
      <c r="C165" s="7"/>
      <c r="D165" s="30"/>
      <c r="E165" s="7"/>
      <c r="F165" s="7"/>
      <c r="G165" s="7"/>
      <c r="H165" s="7"/>
      <c r="I165" s="8"/>
    </row>
    <row x14ac:dyDescent="0.25" r="166" customHeight="1" ht="14.25">
      <c r="A166" s="30"/>
      <c r="B166" s="30"/>
      <c r="C166" s="7"/>
      <c r="D166" s="30"/>
      <c r="E166" s="7"/>
      <c r="F166" s="7"/>
      <c r="G166" s="7"/>
      <c r="H166" s="7"/>
      <c r="I166" s="8"/>
    </row>
    <row x14ac:dyDescent="0.25" r="167" customHeight="1" ht="14.25">
      <c r="A167" s="30"/>
      <c r="B167" s="30"/>
      <c r="C167" s="7"/>
      <c r="D167" s="30"/>
      <c r="E167" s="7"/>
      <c r="F167" s="7"/>
      <c r="G167" s="7"/>
      <c r="H167" s="7"/>
      <c r="I167" s="8"/>
    </row>
    <row x14ac:dyDescent="0.25" r="168" customHeight="1" ht="14.25">
      <c r="A168" s="30"/>
      <c r="B168" s="30"/>
      <c r="C168" s="7"/>
      <c r="D168" s="30"/>
      <c r="E168" s="7"/>
      <c r="F168" s="7"/>
      <c r="G168" s="7"/>
      <c r="H168" s="7"/>
      <c r="I168" s="8"/>
    </row>
    <row x14ac:dyDescent="0.25" r="169" customHeight="1" ht="14.25">
      <c r="A169" s="30"/>
      <c r="B169" s="30"/>
      <c r="C169" s="7"/>
      <c r="D169" s="30"/>
      <c r="E169" s="7"/>
      <c r="F169" s="7"/>
      <c r="G169" s="7"/>
      <c r="H169" s="7"/>
      <c r="I169" s="8"/>
    </row>
    <row x14ac:dyDescent="0.25" r="170" customHeight="1" ht="14.25">
      <c r="A170" s="30"/>
      <c r="B170" s="30"/>
      <c r="C170" s="7"/>
      <c r="D170" s="30"/>
      <c r="E170" s="7"/>
      <c r="F170" s="7"/>
      <c r="G170" s="7"/>
      <c r="H170" s="7"/>
      <c r="I170" s="8"/>
    </row>
    <row x14ac:dyDescent="0.25" r="171" customHeight="1" ht="14.25">
      <c r="A171" s="30"/>
      <c r="B171" s="30"/>
      <c r="C171" s="7"/>
      <c r="D171" s="30"/>
      <c r="E171" s="7"/>
      <c r="F171" s="7"/>
      <c r="G171" s="7"/>
      <c r="H171" s="7"/>
      <c r="I171" s="8"/>
    </row>
    <row x14ac:dyDescent="0.25" r="172" customHeight="1" ht="14.25">
      <c r="A172" s="30"/>
      <c r="B172" s="30"/>
      <c r="C172" s="7"/>
      <c r="D172" s="30"/>
      <c r="E172" s="7"/>
      <c r="F172" s="7"/>
      <c r="G172" s="7"/>
      <c r="H172" s="7"/>
      <c r="I172" s="8"/>
    </row>
    <row x14ac:dyDescent="0.25" r="173" customHeight="1" ht="14.25">
      <c r="A173" s="30"/>
      <c r="B173" s="30"/>
      <c r="C173" s="7"/>
      <c r="D173" s="30"/>
      <c r="E173" s="7"/>
      <c r="F173" s="7"/>
      <c r="G173" s="7"/>
      <c r="H173" s="7"/>
      <c r="I173" s="8"/>
    </row>
    <row x14ac:dyDescent="0.25" r="174" customHeight="1" ht="14.25">
      <c r="A174" s="30"/>
      <c r="B174" s="30"/>
      <c r="C174" s="7"/>
      <c r="D174" s="30"/>
      <c r="E174" s="7"/>
      <c r="F174" s="7"/>
      <c r="G174" s="7"/>
      <c r="H174" s="7"/>
      <c r="I174" s="8"/>
    </row>
    <row x14ac:dyDescent="0.25" r="175" customHeight="1" ht="14.25">
      <c r="A175" s="30"/>
      <c r="B175" s="30"/>
      <c r="C175" s="7"/>
      <c r="D175" s="30"/>
      <c r="E175" s="7"/>
      <c r="F175" s="7"/>
      <c r="G175" s="7"/>
      <c r="H175" s="7"/>
      <c r="I175" s="8"/>
    </row>
    <row x14ac:dyDescent="0.25" r="176" customHeight="1" ht="14.25">
      <c r="A176" s="30"/>
      <c r="B176" s="30"/>
      <c r="C176" s="7"/>
      <c r="D176" s="30"/>
      <c r="E176" s="7"/>
      <c r="F176" s="7"/>
      <c r="G176" s="7"/>
      <c r="H176" s="7"/>
      <c r="I176" s="8"/>
    </row>
    <row x14ac:dyDescent="0.25" r="177" customHeight="1" ht="14.25">
      <c r="A177" s="30"/>
      <c r="B177" s="30"/>
      <c r="C177" s="7"/>
      <c r="D177" s="30"/>
      <c r="E177" s="7"/>
      <c r="F177" s="7"/>
      <c r="G177" s="7"/>
      <c r="H177" s="7"/>
      <c r="I177" s="8"/>
    </row>
    <row x14ac:dyDescent="0.25" r="178" customHeight="1" ht="14.25">
      <c r="A178" s="30"/>
      <c r="B178" s="30"/>
      <c r="C178" s="7"/>
      <c r="D178" s="30"/>
      <c r="E178" s="7"/>
      <c r="F178" s="7"/>
      <c r="G178" s="7"/>
      <c r="H178" s="7"/>
      <c r="I178" s="8"/>
    </row>
    <row x14ac:dyDescent="0.25" r="179" customHeight="1" ht="14.25">
      <c r="A179" s="30"/>
      <c r="B179" s="30"/>
      <c r="C179" s="7"/>
      <c r="D179" s="30"/>
      <c r="E179" s="7"/>
      <c r="F179" s="7"/>
      <c r="G179" s="7"/>
      <c r="H179" s="7"/>
      <c r="I179" s="8"/>
    </row>
    <row x14ac:dyDescent="0.25" r="180" customHeight="1" ht="14.25">
      <c r="A180" s="30"/>
      <c r="B180" s="30"/>
      <c r="C180" s="7"/>
      <c r="D180" s="30"/>
      <c r="E180" s="7"/>
      <c r="F180" s="7"/>
      <c r="G180" s="7"/>
      <c r="H180" s="7"/>
      <c r="I180" s="8"/>
    </row>
    <row x14ac:dyDescent="0.25" r="181" customHeight="1" ht="14.25">
      <c r="A181" s="30"/>
      <c r="B181" s="30"/>
      <c r="C181" s="7"/>
      <c r="D181" s="30"/>
      <c r="E181" s="7"/>
      <c r="F181" s="7"/>
      <c r="G181" s="7"/>
      <c r="H181" s="7"/>
      <c r="I181" s="8"/>
    </row>
    <row x14ac:dyDescent="0.25" r="182" customHeight="1" ht="14.25">
      <c r="A182" s="30"/>
      <c r="B182" s="30"/>
      <c r="C182" s="7"/>
      <c r="D182" s="30"/>
      <c r="E182" s="7"/>
      <c r="F182" s="7"/>
      <c r="G182" s="7"/>
      <c r="H182" s="7"/>
      <c r="I182" s="8"/>
    </row>
    <row x14ac:dyDescent="0.25" r="183" customHeight="1" ht="14.25">
      <c r="A183" s="30"/>
      <c r="B183" s="30"/>
      <c r="C183" s="7"/>
      <c r="D183" s="30"/>
      <c r="E183" s="7"/>
      <c r="F183" s="7"/>
      <c r="G183" s="7"/>
      <c r="H183" s="7"/>
      <c r="I183" s="8"/>
    </row>
    <row x14ac:dyDescent="0.25" r="184" customHeight="1" ht="14.25">
      <c r="A184" s="30"/>
      <c r="B184" s="30"/>
      <c r="C184" s="7"/>
      <c r="D184" s="30"/>
      <c r="E184" s="7"/>
      <c r="F184" s="7"/>
      <c r="G184" s="7"/>
      <c r="H184" s="7"/>
      <c r="I184" s="8"/>
    </row>
    <row x14ac:dyDescent="0.25" r="185" customHeight="1" ht="14.25">
      <c r="A185" s="30"/>
      <c r="B185" s="30"/>
      <c r="C185" s="7"/>
      <c r="D185" s="30"/>
      <c r="E185" s="7"/>
      <c r="F185" s="7"/>
      <c r="G185" s="7"/>
      <c r="H185" s="7"/>
      <c r="I185" s="8"/>
    </row>
    <row x14ac:dyDescent="0.25" r="186" customHeight="1" ht="14.25">
      <c r="A186" s="30"/>
      <c r="B186" s="30"/>
      <c r="C186" s="7"/>
      <c r="D186" s="30"/>
      <c r="E186" s="7"/>
      <c r="F186" s="7"/>
      <c r="G186" s="7"/>
      <c r="H186" s="7"/>
      <c r="I186" s="8"/>
    </row>
    <row x14ac:dyDescent="0.25" r="187" customHeight="1" ht="14.25">
      <c r="A187" s="30"/>
      <c r="B187" s="30"/>
      <c r="C187" s="7"/>
      <c r="D187" s="30"/>
      <c r="E187" s="7"/>
      <c r="F187" s="7"/>
      <c r="G187" s="7"/>
      <c r="H187" s="7"/>
      <c r="I187" s="8"/>
    </row>
    <row x14ac:dyDescent="0.25" r="188" customHeight="1" ht="14.25">
      <c r="A188" s="30"/>
      <c r="B188" s="30"/>
      <c r="C188" s="7"/>
      <c r="D188" s="30"/>
      <c r="E188" s="7"/>
      <c r="F188" s="7"/>
      <c r="G188" s="7"/>
      <c r="H188" s="7"/>
      <c r="I188" s="8"/>
    </row>
    <row x14ac:dyDescent="0.25" r="189" customHeight="1" ht="14.25">
      <c r="A189" s="30"/>
      <c r="B189" s="30"/>
      <c r="C189" s="7"/>
      <c r="D189" s="30"/>
      <c r="E189" s="7"/>
      <c r="F189" s="7"/>
      <c r="G189" s="7"/>
      <c r="H189" s="7"/>
      <c r="I189" s="8"/>
    </row>
    <row x14ac:dyDescent="0.25" r="190" customHeight="1" ht="14.25">
      <c r="A190" s="30"/>
      <c r="B190" s="30"/>
      <c r="C190" s="7"/>
      <c r="D190" s="30"/>
      <c r="E190" s="7"/>
      <c r="F190" s="7"/>
      <c r="G190" s="7"/>
      <c r="H190" s="7"/>
      <c r="I190" s="8"/>
    </row>
    <row x14ac:dyDescent="0.25" r="191" customHeight="1" ht="14.25">
      <c r="A191" s="30"/>
      <c r="B191" s="30"/>
      <c r="C191" s="7"/>
      <c r="D191" s="30"/>
      <c r="E191" s="7"/>
      <c r="F191" s="7"/>
      <c r="G191" s="7"/>
      <c r="H191" s="7"/>
      <c r="I191" s="8"/>
    </row>
    <row x14ac:dyDescent="0.25" r="192" customHeight="1" ht="14.25">
      <c r="A192" s="30"/>
      <c r="B192" s="30"/>
      <c r="C192" s="7"/>
      <c r="D192" s="30"/>
      <c r="E192" s="7"/>
      <c r="F192" s="7"/>
      <c r="G192" s="7"/>
      <c r="H192" s="7"/>
      <c r="I192" s="8"/>
    </row>
    <row x14ac:dyDescent="0.25" r="193" customHeight="1" ht="14.25">
      <c r="A193" s="30"/>
      <c r="B193" s="30"/>
      <c r="C193" s="7"/>
      <c r="D193" s="30"/>
      <c r="E193" s="7"/>
      <c r="F193" s="7"/>
      <c r="G193" s="7"/>
      <c r="H193" s="7"/>
      <c r="I193" s="8"/>
    </row>
    <row x14ac:dyDescent="0.25" r="194" customHeight="1" ht="14.25">
      <c r="A194" s="30"/>
      <c r="B194" s="30"/>
      <c r="C194" s="7"/>
      <c r="D194" s="30"/>
      <c r="E194" s="7"/>
      <c r="F194" s="7"/>
      <c r="G194" s="7"/>
      <c r="H194" s="7"/>
      <c r="I194" s="8"/>
    </row>
    <row x14ac:dyDescent="0.25" r="195" customHeight="1" ht="14.25">
      <c r="A195" s="30"/>
      <c r="B195" s="30"/>
      <c r="C195" s="7"/>
      <c r="D195" s="30"/>
      <c r="E195" s="7"/>
      <c r="F195" s="7"/>
      <c r="G195" s="7"/>
      <c r="H195" s="7"/>
      <c r="I195" s="8"/>
    </row>
    <row x14ac:dyDescent="0.25" r="196" customHeight="1" ht="14.25">
      <c r="A196" s="30"/>
      <c r="B196" s="30"/>
      <c r="C196" s="7"/>
      <c r="D196" s="30"/>
      <c r="E196" s="7"/>
      <c r="F196" s="7"/>
      <c r="G196" s="7"/>
      <c r="H196" s="7"/>
      <c r="I196" s="8"/>
    </row>
    <row x14ac:dyDescent="0.25" r="197" customHeight="1" ht="14.25">
      <c r="A197" s="30"/>
      <c r="B197" s="30"/>
      <c r="C197" s="7"/>
      <c r="D197" s="30"/>
      <c r="E197" s="7"/>
      <c r="F197" s="7"/>
      <c r="G197" s="7"/>
      <c r="H197" s="7"/>
      <c r="I197" s="8"/>
    </row>
    <row x14ac:dyDescent="0.25" r="198" customHeight="1" ht="14.25">
      <c r="A198" s="30"/>
      <c r="B198" s="30"/>
      <c r="C198" s="7"/>
      <c r="D198" s="30"/>
      <c r="E198" s="7"/>
      <c r="F198" s="7"/>
      <c r="G198" s="7"/>
      <c r="H198" s="7"/>
      <c r="I198" s="8"/>
    </row>
    <row x14ac:dyDescent="0.25" r="199" customHeight="1" ht="14.25">
      <c r="A199" s="30"/>
      <c r="B199" s="30"/>
      <c r="C199" s="7"/>
      <c r="D199" s="30"/>
      <c r="E199" s="7"/>
      <c r="F199" s="7"/>
      <c r="G199" s="7"/>
      <c r="H199" s="7"/>
      <c r="I199" s="8"/>
    </row>
    <row x14ac:dyDescent="0.25" r="200" customHeight="1" ht="14.25">
      <c r="A200" s="30"/>
      <c r="B200" s="30"/>
      <c r="C200" s="7"/>
      <c r="D200" s="30"/>
      <c r="E200" s="7"/>
      <c r="F200" s="7"/>
      <c r="G200" s="7"/>
      <c r="H200" s="7"/>
      <c r="I200" s="8"/>
    </row>
    <row x14ac:dyDescent="0.25" r="201" customHeight="1" ht="14.25">
      <c r="A201" s="30"/>
      <c r="B201" s="30"/>
      <c r="C201" s="7"/>
      <c r="D201" s="30"/>
      <c r="E201" s="7"/>
      <c r="F201" s="7"/>
      <c r="G201" s="7"/>
      <c r="H201" s="7"/>
      <c r="I201" s="8"/>
    </row>
    <row x14ac:dyDescent="0.25" r="202" customHeight="1" ht="14.25">
      <c r="A202" s="30"/>
      <c r="B202" s="30"/>
      <c r="C202" s="7"/>
      <c r="D202" s="30"/>
      <c r="E202" s="7"/>
      <c r="F202" s="7"/>
      <c r="G202" s="7"/>
      <c r="H202" s="7"/>
      <c r="I202" s="8"/>
    </row>
    <row x14ac:dyDescent="0.25" r="203" customHeight="1" ht="14.25">
      <c r="A203" s="30"/>
      <c r="B203" s="30"/>
      <c r="C203" s="7"/>
      <c r="D203" s="30"/>
      <c r="E203" s="7"/>
      <c r="F203" s="7"/>
      <c r="G203" s="7"/>
      <c r="H203" s="7"/>
      <c r="I203" s="8"/>
    </row>
    <row x14ac:dyDescent="0.25" r="204" customHeight="1" ht="14.25">
      <c r="A204" s="30"/>
      <c r="B204" s="30"/>
      <c r="C204" s="7"/>
      <c r="D204" s="30"/>
      <c r="E204" s="7"/>
      <c r="F204" s="7"/>
      <c r="G204" s="7"/>
      <c r="H204" s="7"/>
      <c r="I204" s="8"/>
    </row>
    <row x14ac:dyDescent="0.25" r="205" customHeight="1" ht="14.25">
      <c r="A205" s="30"/>
      <c r="B205" s="30"/>
      <c r="C205" s="7"/>
      <c r="D205" s="30"/>
      <c r="E205" s="7"/>
      <c r="F205" s="7"/>
      <c r="G205" s="7"/>
      <c r="H205" s="7"/>
      <c r="I205" s="8"/>
    </row>
    <row x14ac:dyDescent="0.25" r="206" customHeight="1" ht="14.25">
      <c r="A206" s="30"/>
      <c r="B206" s="30"/>
      <c r="C206" s="7"/>
      <c r="D206" s="30"/>
      <c r="E206" s="7"/>
      <c r="F206" s="7"/>
      <c r="G206" s="7"/>
      <c r="H206" s="7"/>
      <c r="I206" s="8"/>
    </row>
    <row x14ac:dyDescent="0.25" r="207" customHeight="1" ht="14.25">
      <c r="A207" s="30"/>
      <c r="B207" s="30"/>
      <c r="C207" s="7"/>
      <c r="D207" s="30"/>
      <c r="E207" s="7"/>
      <c r="F207" s="7"/>
      <c r="G207" s="7"/>
      <c r="H207" s="7"/>
      <c r="I207" s="8"/>
    </row>
    <row x14ac:dyDescent="0.25" r="208" customHeight="1" ht="14.25">
      <c r="A208" s="30"/>
      <c r="B208" s="30"/>
      <c r="C208" s="7"/>
      <c r="D208" s="30"/>
      <c r="E208" s="7"/>
      <c r="F208" s="7"/>
      <c r="G208" s="7"/>
      <c r="H208" s="7"/>
      <c r="I208" s="8"/>
    </row>
    <row x14ac:dyDescent="0.25" r="209" customHeight="1" ht="14.25">
      <c r="A209" s="30"/>
      <c r="B209" s="30"/>
      <c r="C209" s="7"/>
      <c r="D209" s="30"/>
      <c r="E209" s="7"/>
      <c r="F209" s="7"/>
      <c r="G209" s="7"/>
      <c r="H209" s="7"/>
      <c r="I209" s="8"/>
    </row>
    <row x14ac:dyDescent="0.25" r="210" customHeight="1" ht="14.25">
      <c r="A210" s="30"/>
      <c r="B210" s="30"/>
      <c r="C210" s="7"/>
      <c r="D210" s="30"/>
      <c r="E210" s="7"/>
      <c r="F210" s="7"/>
      <c r="G210" s="7"/>
      <c r="H210" s="7"/>
      <c r="I210" s="8"/>
    </row>
    <row x14ac:dyDescent="0.25" r="211" customHeight="1" ht="14.25">
      <c r="A211" s="30"/>
      <c r="B211" s="30"/>
      <c r="C211" s="7"/>
      <c r="D211" s="30"/>
      <c r="E211" s="7"/>
      <c r="F211" s="7"/>
      <c r="G211" s="7"/>
      <c r="H211" s="7"/>
      <c r="I211" s="8"/>
    </row>
    <row x14ac:dyDescent="0.25" r="212" customHeight="1" ht="14.25">
      <c r="A212" s="30"/>
      <c r="B212" s="30"/>
      <c r="C212" s="7"/>
      <c r="D212" s="30"/>
      <c r="E212" s="7"/>
      <c r="F212" s="7"/>
      <c r="G212" s="7"/>
      <c r="H212" s="7"/>
      <c r="I212" s="8"/>
    </row>
    <row x14ac:dyDescent="0.25" r="213" customHeight="1" ht="14.25">
      <c r="A213" s="30"/>
      <c r="B213" s="30"/>
      <c r="C213" s="7"/>
      <c r="D213" s="30"/>
      <c r="E213" s="7"/>
      <c r="F213" s="7"/>
      <c r="G213" s="7"/>
      <c r="H213" s="7"/>
      <c r="I213" s="8"/>
    </row>
    <row x14ac:dyDescent="0.25" r="214" customHeight="1" ht="14.25">
      <c r="A214" s="30"/>
      <c r="B214" s="30"/>
      <c r="C214" s="7"/>
      <c r="D214" s="30"/>
      <c r="E214" s="7"/>
      <c r="F214" s="7"/>
      <c r="G214" s="7"/>
      <c r="H214" s="7"/>
      <c r="I214" s="8"/>
    </row>
    <row x14ac:dyDescent="0.25" r="215" customHeight="1" ht="14.25">
      <c r="A215" s="30"/>
      <c r="B215" s="30"/>
      <c r="C215" s="7"/>
      <c r="D215" s="30"/>
      <c r="E215" s="7"/>
      <c r="F215" s="7"/>
      <c r="G215" s="7"/>
      <c r="H215" s="7"/>
      <c r="I215" s="8"/>
    </row>
    <row x14ac:dyDescent="0.25" r="216" customHeight="1" ht="14.25">
      <c r="A216" s="30"/>
      <c r="B216" s="30"/>
      <c r="C216" s="7"/>
      <c r="D216" s="30"/>
      <c r="E216" s="7"/>
      <c r="F216" s="7"/>
      <c r="G216" s="7"/>
      <c r="H216" s="7"/>
      <c r="I216" s="8"/>
    </row>
    <row x14ac:dyDescent="0.25" r="217" customHeight="1" ht="14.25">
      <c r="A217" s="30"/>
      <c r="B217" s="30"/>
      <c r="C217" s="7"/>
      <c r="D217" s="30"/>
      <c r="E217" s="7"/>
      <c r="F217" s="7"/>
      <c r="G217" s="7"/>
      <c r="H217" s="7"/>
      <c r="I217" s="8"/>
    </row>
    <row x14ac:dyDescent="0.25" r="218" customHeight="1" ht="14.25">
      <c r="A218" s="30"/>
      <c r="B218" s="30"/>
      <c r="C218" s="7"/>
      <c r="D218" s="30"/>
      <c r="E218" s="7"/>
      <c r="F218" s="7"/>
      <c r="G218" s="7"/>
      <c r="H218" s="7"/>
      <c r="I218" s="8"/>
    </row>
    <row x14ac:dyDescent="0.25" r="219" customHeight="1" ht="14.25">
      <c r="A219" s="30"/>
      <c r="B219" s="30"/>
      <c r="C219" s="7"/>
      <c r="D219" s="30"/>
      <c r="E219" s="7"/>
      <c r="F219" s="7"/>
      <c r="G219" s="7"/>
      <c r="H219" s="7"/>
      <c r="I219" s="8"/>
    </row>
    <row x14ac:dyDescent="0.25" r="220" customHeight="1" ht="14.25">
      <c r="A220" s="30"/>
      <c r="B220" s="30"/>
      <c r="C220" s="7"/>
      <c r="D220" s="30"/>
      <c r="E220" s="7"/>
      <c r="F220" s="7"/>
      <c r="G220" s="7"/>
      <c r="H220" s="7"/>
      <c r="I220" s="8"/>
    </row>
    <row x14ac:dyDescent="0.25" r="221" customHeight="1" ht="14.25">
      <c r="A221" s="30"/>
      <c r="B221" s="30"/>
      <c r="C221" s="7"/>
      <c r="D221" s="30"/>
      <c r="E221" s="7"/>
      <c r="F221" s="7"/>
      <c r="G221" s="7"/>
      <c r="H221" s="7"/>
      <c r="I221" s="8"/>
    </row>
    <row x14ac:dyDescent="0.25" r="222" customHeight="1" ht="14.25">
      <c r="A222" s="30"/>
      <c r="B222" s="30"/>
      <c r="C222" s="7"/>
      <c r="D222" s="30"/>
      <c r="E222" s="7"/>
      <c r="F222" s="7"/>
      <c r="G222" s="7"/>
      <c r="H222" s="7"/>
      <c r="I222" s="8"/>
    </row>
    <row x14ac:dyDescent="0.25" r="223" customHeight="1" ht="14.25">
      <c r="A223" s="30"/>
      <c r="B223" s="30"/>
      <c r="C223" s="7"/>
      <c r="D223" s="30"/>
      <c r="E223" s="7"/>
      <c r="F223" s="7"/>
      <c r="G223" s="7"/>
      <c r="H223" s="7"/>
      <c r="I223" s="8"/>
    </row>
    <row x14ac:dyDescent="0.25" r="224" customHeight="1" ht="14.25">
      <c r="A224" s="30"/>
      <c r="B224" s="30"/>
      <c r="C224" s="7"/>
      <c r="D224" s="30"/>
      <c r="E224" s="7"/>
      <c r="F224" s="7"/>
      <c r="G224" s="7"/>
      <c r="H224" s="7"/>
      <c r="I224" s="8"/>
    </row>
    <row x14ac:dyDescent="0.25" r="225" customHeight="1" ht="14.25">
      <c r="A225" s="30"/>
      <c r="B225" s="30"/>
      <c r="C225" s="7"/>
      <c r="D225" s="30"/>
      <c r="E225" s="7"/>
      <c r="F225" s="7"/>
      <c r="G225" s="7"/>
      <c r="H225" s="7"/>
      <c r="I225" s="8"/>
    </row>
    <row x14ac:dyDescent="0.25" r="226" customHeight="1" ht="14.25">
      <c r="A226" s="30"/>
      <c r="B226" s="30"/>
      <c r="C226" s="7"/>
      <c r="D226" s="30"/>
      <c r="E226" s="7"/>
      <c r="F226" s="7"/>
      <c r="G226" s="7"/>
      <c r="H226" s="7"/>
      <c r="I226" s="8"/>
    </row>
    <row x14ac:dyDescent="0.25" r="227" customHeight="1" ht="14.25">
      <c r="A227" s="30"/>
      <c r="B227" s="30"/>
      <c r="C227" s="7"/>
      <c r="D227" s="30"/>
      <c r="E227" s="7"/>
      <c r="F227" s="7"/>
      <c r="G227" s="7"/>
      <c r="H227" s="7"/>
      <c r="I227" s="8"/>
    </row>
    <row x14ac:dyDescent="0.25" r="228" customHeight="1" ht="14.25">
      <c r="A228" s="30"/>
      <c r="B228" s="30"/>
      <c r="C228" s="7"/>
      <c r="D228" s="30"/>
      <c r="E228" s="7"/>
      <c r="F228" s="7"/>
      <c r="G228" s="7"/>
      <c r="H228" s="7"/>
      <c r="I228" s="8"/>
    </row>
    <row x14ac:dyDescent="0.25" r="229" customHeight="1" ht="14.25">
      <c r="A229" s="30"/>
      <c r="B229" s="30"/>
      <c r="C229" s="7"/>
      <c r="D229" s="30"/>
      <c r="E229" s="7"/>
      <c r="F229" s="7"/>
      <c r="G229" s="7"/>
      <c r="H229" s="7"/>
      <c r="I229" s="8"/>
    </row>
    <row x14ac:dyDescent="0.25" r="230" customHeight="1" ht="14.25">
      <c r="A230" s="30"/>
      <c r="B230" s="30"/>
      <c r="C230" s="7"/>
      <c r="D230" s="30"/>
      <c r="E230" s="7"/>
      <c r="F230" s="7"/>
      <c r="G230" s="7"/>
      <c r="H230" s="7"/>
      <c r="I230" s="8"/>
    </row>
    <row x14ac:dyDescent="0.25" r="231" customHeight="1" ht="14.25">
      <c r="A231" s="30"/>
      <c r="B231" s="30"/>
      <c r="C231" s="7"/>
      <c r="D231" s="30"/>
      <c r="E231" s="7"/>
      <c r="F231" s="7"/>
      <c r="G231" s="7"/>
      <c r="H231" s="7"/>
      <c r="I231" s="8"/>
    </row>
    <row x14ac:dyDescent="0.25" r="232" customHeight="1" ht="14.25">
      <c r="A232" s="30"/>
      <c r="B232" s="30"/>
      <c r="C232" s="7"/>
      <c r="D232" s="30"/>
      <c r="E232" s="7"/>
      <c r="F232" s="7"/>
      <c r="G232" s="7"/>
      <c r="H232" s="7"/>
      <c r="I232" s="8"/>
    </row>
    <row x14ac:dyDescent="0.25" r="233" customHeight="1" ht="14.25">
      <c r="A233" s="30"/>
      <c r="B233" s="30"/>
      <c r="C233" s="7"/>
      <c r="D233" s="30"/>
      <c r="E233" s="7"/>
      <c r="F233" s="7"/>
      <c r="G233" s="7"/>
      <c r="H233" s="7"/>
      <c r="I233" s="8"/>
    </row>
    <row x14ac:dyDescent="0.25" r="234" customHeight="1" ht="14.25">
      <c r="A234" s="30"/>
      <c r="B234" s="30"/>
      <c r="C234" s="7"/>
      <c r="D234" s="30"/>
      <c r="E234" s="7"/>
      <c r="F234" s="7"/>
      <c r="G234" s="7"/>
      <c r="H234" s="7"/>
      <c r="I234" s="8"/>
    </row>
    <row x14ac:dyDescent="0.25" r="235" customHeight="1" ht="14.25">
      <c r="A235" s="30"/>
      <c r="B235" s="30"/>
      <c r="C235" s="7"/>
      <c r="D235" s="30"/>
      <c r="E235" s="7"/>
      <c r="F235" s="7"/>
      <c r="G235" s="7"/>
      <c r="H235" s="7"/>
      <c r="I235" s="8"/>
    </row>
    <row x14ac:dyDescent="0.25" r="236" customHeight="1" ht="14.25">
      <c r="A236" s="30"/>
      <c r="B236" s="30"/>
      <c r="C236" s="7"/>
      <c r="D236" s="30"/>
      <c r="E236" s="7"/>
      <c r="F236" s="7"/>
      <c r="G236" s="7"/>
      <c r="H236" s="7"/>
      <c r="I236" s="8"/>
    </row>
    <row x14ac:dyDescent="0.25" r="237" customHeight="1" ht="14.25">
      <c r="A237" s="30"/>
      <c r="B237" s="30"/>
      <c r="C237" s="7"/>
      <c r="D237" s="30"/>
      <c r="E237" s="7"/>
      <c r="F237" s="7"/>
      <c r="G237" s="7"/>
      <c r="H237" s="7"/>
      <c r="I237" s="8"/>
    </row>
    <row x14ac:dyDescent="0.25" r="238" customHeight="1" ht="14.25">
      <c r="A238" s="30"/>
      <c r="B238" s="30"/>
      <c r="C238" s="7"/>
      <c r="D238" s="30"/>
      <c r="E238" s="7"/>
      <c r="F238" s="7"/>
      <c r="G238" s="7"/>
      <c r="H238" s="7"/>
      <c r="I238" s="8"/>
    </row>
    <row x14ac:dyDescent="0.25" r="239" customHeight="1" ht="14.25">
      <c r="A239" s="30"/>
      <c r="B239" s="30"/>
      <c r="C239" s="7"/>
      <c r="D239" s="30"/>
      <c r="E239" s="7"/>
      <c r="F239" s="7"/>
      <c r="G239" s="7"/>
      <c r="H239" s="7"/>
      <c r="I239" s="8"/>
    </row>
    <row x14ac:dyDescent="0.25" r="240" customHeight="1" ht="14.25">
      <c r="A240" s="30"/>
      <c r="B240" s="30"/>
      <c r="C240" s="7"/>
      <c r="D240" s="30"/>
      <c r="E240" s="7"/>
      <c r="F240" s="7"/>
      <c r="G240" s="7"/>
      <c r="H240" s="7"/>
      <c r="I240" s="8"/>
    </row>
    <row x14ac:dyDescent="0.25" r="241" customHeight="1" ht="14.25">
      <c r="A241" s="30"/>
      <c r="B241" s="30"/>
      <c r="C241" s="7"/>
      <c r="D241" s="30"/>
      <c r="E241" s="7"/>
      <c r="F241" s="7"/>
      <c r="G241" s="7"/>
      <c r="H241" s="7"/>
      <c r="I241" s="8"/>
    </row>
    <row x14ac:dyDescent="0.25" r="242" customHeight="1" ht="14.25">
      <c r="A242" s="30"/>
      <c r="B242" s="30"/>
      <c r="C242" s="7"/>
      <c r="D242" s="30"/>
      <c r="E242" s="7"/>
      <c r="F242" s="7"/>
      <c r="G242" s="7"/>
      <c r="H242" s="7"/>
      <c r="I242" s="8"/>
    </row>
    <row x14ac:dyDescent="0.25" r="243" customHeight="1" ht="14.25">
      <c r="A243" s="30"/>
      <c r="B243" s="30"/>
      <c r="C243" s="7"/>
      <c r="D243" s="30"/>
      <c r="E243" s="7"/>
      <c r="F243" s="7"/>
      <c r="G243" s="7"/>
      <c r="H243" s="7"/>
      <c r="I243" s="8"/>
    </row>
    <row x14ac:dyDescent="0.25" r="244" customHeight="1" ht="14.25">
      <c r="A244" s="30"/>
      <c r="B244" s="30"/>
      <c r="C244" s="7"/>
      <c r="D244" s="30"/>
      <c r="E244" s="7"/>
      <c r="F244" s="7"/>
      <c r="G244" s="7"/>
      <c r="H244" s="7"/>
      <c r="I244" s="8"/>
    </row>
    <row x14ac:dyDescent="0.25" r="245" customHeight="1" ht="14.25">
      <c r="A245" s="30"/>
      <c r="B245" s="30"/>
      <c r="C245" s="7"/>
      <c r="D245" s="30"/>
      <c r="E245" s="7"/>
      <c r="F245" s="7"/>
      <c r="G245" s="7"/>
      <c r="H245" s="7"/>
      <c r="I245" s="8"/>
    </row>
    <row x14ac:dyDescent="0.25" r="246" customHeight="1" ht="14.25">
      <c r="A246" s="30"/>
      <c r="B246" s="30"/>
      <c r="C246" s="7"/>
      <c r="D246" s="30"/>
      <c r="E246" s="7"/>
      <c r="F246" s="7"/>
      <c r="G246" s="7"/>
      <c r="H246" s="7"/>
      <c r="I246" s="8"/>
    </row>
    <row x14ac:dyDescent="0.25" r="247" customHeight="1" ht="14.25">
      <c r="A247" s="30"/>
      <c r="B247" s="30"/>
      <c r="C247" s="7"/>
      <c r="D247" s="30"/>
      <c r="E247" s="7"/>
      <c r="F247" s="7"/>
      <c r="G247" s="7"/>
      <c r="H247" s="7"/>
      <c r="I247" s="8"/>
    </row>
    <row x14ac:dyDescent="0.25" r="248" customHeight="1" ht="14.25">
      <c r="A248" s="30"/>
      <c r="B248" s="30"/>
      <c r="C248" s="7"/>
      <c r="D248" s="30"/>
      <c r="E248" s="7"/>
      <c r="F248" s="7"/>
      <c r="G248" s="7"/>
      <c r="H248" s="7"/>
      <c r="I248" s="8"/>
    </row>
    <row x14ac:dyDescent="0.25" r="249" customHeight="1" ht="14.25">
      <c r="A249" s="30"/>
      <c r="B249" s="30"/>
      <c r="C249" s="7"/>
      <c r="D249" s="30"/>
      <c r="E249" s="7"/>
      <c r="F249" s="7"/>
      <c r="G249" s="7"/>
      <c r="H249" s="7"/>
      <c r="I249" s="8"/>
    </row>
    <row x14ac:dyDescent="0.25" r="250" customHeight="1" ht="14.25">
      <c r="A250" s="30"/>
      <c r="B250" s="30"/>
      <c r="C250" s="7"/>
      <c r="D250" s="30"/>
      <c r="E250" s="7"/>
      <c r="F250" s="7"/>
      <c r="G250" s="7"/>
      <c r="H250" s="7"/>
      <c r="I250" s="8"/>
    </row>
    <row x14ac:dyDescent="0.25" r="251" customHeight="1" ht="14.25">
      <c r="A251" s="30"/>
      <c r="B251" s="30"/>
      <c r="C251" s="7"/>
      <c r="D251" s="30"/>
      <c r="E251" s="7"/>
      <c r="F251" s="7"/>
      <c r="G251" s="7"/>
      <c r="H251" s="7"/>
      <c r="I251" s="8"/>
    </row>
    <row x14ac:dyDescent="0.25" r="252" customHeight="1" ht="14.25">
      <c r="A252" s="30"/>
      <c r="B252" s="30"/>
      <c r="C252" s="7"/>
      <c r="D252" s="30"/>
      <c r="E252" s="7"/>
      <c r="F252" s="7"/>
      <c r="G252" s="7"/>
      <c r="H252" s="7"/>
      <c r="I252" s="8"/>
    </row>
    <row x14ac:dyDescent="0.25" r="253" customHeight="1" ht="14.25">
      <c r="A253" s="30"/>
      <c r="B253" s="30"/>
      <c r="C253" s="7"/>
      <c r="D253" s="30"/>
      <c r="E253" s="7"/>
      <c r="F253" s="7"/>
      <c r="G253" s="7"/>
      <c r="H253" s="7"/>
      <c r="I253" s="8"/>
    </row>
    <row x14ac:dyDescent="0.25" r="254" customHeight="1" ht="14.25">
      <c r="A254" s="30"/>
      <c r="B254" s="30"/>
      <c r="C254" s="7"/>
      <c r="D254" s="30"/>
      <c r="E254" s="7"/>
      <c r="F254" s="7"/>
      <c r="G254" s="7"/>
      <c r="H254" s="7"/>
      <c r="I254" s="8"/>
    </row>
    <row x14ac:dyDescent="0.25" r="255" customHeight="1" ht="14.25">
      <c r="A255" s="30"/>
      <c r="B255" s="30"/>
      <c r="C255" s="7"/>
      <c r="D255" s="30"/>
      <c r="E255" s="7"/>
      <c r="F255" s="7"/>
      <c r="G255" s="7"/>
      <c r="H255" s="7"/>
      <c r="I255" s="8"/>
    </row>
    <row x14ac:dyDescent="0.25" r="256" customHeight="1" ht="14.25">
      <c r="A256" s="30"/>
      <c r="B256" s="30"/>
      <c r="C256" s="7"/>
      <c r="D256" s="30"/>
      <c r="E256" s="7"/>
      <c r="F256" s="7"/>
      <c r="G256" s="7"/>
      <c r="H256" s="7"/>
      <c r="I256" s="8"/>
    </row>
    <row x14ac:dyDescent="0.25" r="257" customHeight="1" ht="14.25">
      <c r="A257" s="30"/>
      <c r="B257" s="30"/>
      <c r="C257" s="7"/>
      <c r="D257" s="30"/>
      <c r="E257" s="7"/>
      <c r="F257" s="7"/>
      <c r="G257" s="7"/>
      <c r="H257" s="7"/>
      <c r="I257" s="8"/>
    </row>
    <row x14ac:dyDescent="0.25" r="258" customHeight="1" ht="14.25">
      <c r="A258" s="30"/>
      <c r="B258" s="30"/>
      <c r="C258" s="7"/>
      <c r="D258" s="30"/>
      <c r="E258" s="7"/>
      <c r="F258" s="7"/>
      <c r="G258" s="7"/>
      <c r="H258" s="7"/>
      <c r="I258" s="8"/>
    </row>
    <row x14ac:dyDescent="0.25" r="259" customHeight="1" ht="14.25">
      <c r="A259" s="30"/>
      <c r="B259" s="30"/>
      <c r="C259" s="7"/>
      <c r="D259" s="30"/>
      <c r="E259" s="7"/>
      <c r="F259" s="7"/>
      <c r="G259" s="7"/>
      <c r="H259" s="7"/>
      <c r="I259" s="8"/>
    </row>
    <row x14ac:dyDescent="0.25" r="260" customHeight="1" ht="14.25">
      <c r="A260" s="30"/>
      <c r="B260" s="30"/>
      <c r="C260" s="7"/>
      <c r="D260" s="30"/>
      <c r="E260" s="7"/>
      <c r="F260" s="7"/>
      <c r="G260" s="7"/>
      <c r="H260" s="7"/>
      <c r="I260" s="8"/>
    </row>
    <row x14ac:dyDescent="0.25" r="261" customHeight="1" ht="14.25">
      <c r="A261" s="30"/>
      <c r="B261" s="30"/>
      <c r="C261" s="7"/>
      <c r="D261" s="30"/>
      <c r="E261" s="7"/>
      <c r="F261" s="7"/>
      <c r="G261" s="7"/>
      <c r="H261" s="7"/>
      <c r="I261" s="8"/>
    </row>
    <row x14ac:dyDescent="0.25" r="262" customHeight="1" ht="14.25">
      <c r="A262" s="30"/>
      <c r="B262" s="30"/>
      <c r="C262" s="7"/>
      <c r="D262" s="30"/>
      <c r="E262" s="7"/>
      <c r="F262" s="7"/>
      <c r="G262" s="7"/>
      <c r="H262" s="7"/>
      <c r="I262" s="8"/>
    </row>
    <row x14ac:dyDescent="0.25" r="263" customHeight="1" ht="14.25">
      <c r="A263" s="30"/>
      <c r="B263" s="30"/>
      <c r="C263" s="7"/>
      <c r="D263" s="30"/>
      <c r="E263" s="7"/>
      <c r="F263" s="7"/>
      <c r="G263" s="7"/>
      <c r="H263" s="7"/>
      <c r="I263" s="8"/>
    </row>
    <row x14ac:dyDescent="0.25" r="264" customHeight="1" ht="14.25">
      <c r="A264" s="30"/>
      <c r="B264" s="30"/>
      <c r="C264" s="7"/>
      <c r="D264" s="30"/>
      <c r="E264" s="7"/>
      <c r="F264" s="7"/>
      <c r="G264" s="7"/>
      <c r="H264" s="7"/>
      <c r="I264" s="8"/>
    </row>
    <row x14ac:dyDescent="0.25" r="265" customHeight="1" ht="14.25">
      <c r="A265" s="30"/>
      <c r="B265" s="30"/>
      <c r="C265" s="7"/>
      <c r="D265" s="30"/>
      <c r="E265" s="7"/>
      <c r="F265" s="7"/>
      <c r="G265" s="7"/>
      <c r="H265" s="7"/>
      <c r="I265" s="8"/>
    </row>
    <row x14ac:dyDescent="0.25" r="266" customHeight="1" ht="14.25">
      <c r="A266" s="30"/>
      <c r="B266" s="30"/>
      <c r="C266" s="7"/>
      <c r="D266" s="30"/>
      <c r="E266" s="7"/>
      <c r="F266" s="7"/>
      <c r="G266" s="7"/>
      <c r="H266" s="7"/>
      <c r="I266" s="8"/>
    </row>
    <row x14ac:dyDescent="0.25" r="267" customHeight="1" ht="14.25">
      <c r="A267" s="30"/>
      <c r="B267" s="30"/>
      <c r="C267" s="7"/>
      <c r="D267" s="30"/>
      <c r="E267" s="7"/>
      <c r="F267" s="7"/>
      <c r="G267" s="7"/>
      <c r="H267" s="7"/>
      <c r="I267" s="8"/>
    </row>
    <row x14ac:dyDescent="0.25" r="268" customHeight="1" ht="14.25">
      <c r="A268" s="30"/>
      <c r="B268" s="30"/>
      <c r="C268" s="7"/>
      <c r="D268" s="30"/>
      <c r="E268" s="7"/>
      <c r="F268" s="7"/>
      <c r="G268" s="7"/>
      <c r="H268" s="7"/>
      <c r="I268" s="8"/>
    </row>
    <row x14ac:dyDescent="0.25" r="269" customHeight="1" ht="14.25">
      <c r="A269" s="30"/>
      <c r="B269" s="30"/>
      <c r="C269" s="7"/>
      <c r="D269" s="30"/>
      <c r="E269" s="7"/>
      <c r="F269" s="7"/>
      <c r="G269" s="7"/>
      <c r="H269" s="7"/>
      <c r="I269" s="8"/>
    </row>
    <row x14ac:dyDescent="0.25" r="270" customHeight="1" ht="14.25">
      <c r="A270" s="30"/>
      <c r="B270" s="30"/>
      <c r="C270" s="7"/>
      <c r="D270" s="30"/>
      <c r="E270" s="7"/>
      <c r="F270" s="7"/>
      <c r="G270" s="7"/>
      <c r="H270" s="7"/>
      <c r="I270" s="8"/>
    </row>
    <row x14ac:dyDescent="0.25" r="271" customHeight="1" ht="14.25">
      <c r="A271" s="30"/>
      <c r="B271" s="30"/>
      <c r="C271" s="7"/>
      <c r="D271" s="30"/>
      <c r="E271" s="7"/>
      <c r="F271" s="7"/>
      <c r="G271" s="7"/>
      <c r="H271" s="7"/>
      <c r="I271" s="8"/>
    </row>
    <row x14ac:dyDescent="0.25" r="272" customHeight="1" ht="14.25">
      <c r="A272" s="30"/>
      <c r="B272" s="30"/>
      <c r="C272" s="7"/>
      <c r="D272" s="30"/>
      <c r="E272" s="7"/>
      <c r="F272" s="7"/>
      <c r="G272" s="7"/>
      <c r="H272" s="7"/>
      <c r="I272" s="8"/>
    </row>
    <row x14ac:dyDescent="0.25" r="273" customHeight="1" ht="14.25">
      <c r="A273" s="30"/>
      <c r="B273" s="30"/>
      <c r="C273" s="7"/>
      <c r="D273" s="30"/>
      <c r="E273" s="7"/>
      <c r="F273" s="7"/>
      <c r="G273" s="7"/>
      <c r="H273" s="7"/>
      <c r="I273" s="8"/>
    </row>
    <row x14ac:dyDescent="0.25" r="274" customHeight="1" ht="14.25">
      <c r="A274" s="30"/>
      <c r="B274" s="30"/>
      <c r="C274" s="7"/>
      <c r="D274" s="30"/>
      <c r="E274" s="7"/>
      <c r="F274" s="7"/>
      <c r="G274" s="7"/>
      <c r="H274" s="7"/>
      <c r="I274" s="8"/>
    </row>
    <row x14ac:dyDescent="0.25" r="275" customHeight="1" ht="14.25">
      <c r="A275" s="30"/>
      <c r="B275" s="30"/>
      <c r="C275" s="7"/>
      <c r="D275" s="30"/>
      <c r="E275" s="7"/>
      <c r="F275" s="7"/>
      <c r="G275" s="7"/>
      <c r="H275" s="7"/>
      <c r="I275" s="8"/>
    </row>
    <row x14ac:dyDescent="0.25" r="276" customHeight="1" ht="14.25">
      <c r="A276" s="30"/>
      <c r="B276" s="30"/>
      <c r="C276" s="7"/>
      <c r="D276" s="30"/>
      <c r="E276" s="7"/>
      <c r="F276" s="7"/>
      <c r="G276" s="7"/>
      <c r="H276" s="7"/>
      <c r="I276" s="8"/>
    </row>
    <row x14ac:dyDescent="0.25" r="277" customHeight="1" ht="14.25">
      <c r="A277" s="30"/>
      <c r="B277" s="30"/>
      <c r="C277" s="7"/>
      <c r="D277" s="30"/>
      <c r="E277" s="7"/>
      <c r="F277" s="7"/>
      <c r="G277" s="7"/>
      <c r="H277" s="7"/>
      <c r="I277" s="8"/>
    </row>
    <row x14ac:dyDescent="0.25" r="278" customHeight="1" ht="14.25">
      <c r="A278" s="30"/>
      <c r="B278" s="30"/>
      <c r="C278" s="7"/>
      <c r="D278" s="30"/>
      <c r="E278" s="7"/>
      <c r="F278" s="7"/>
      <c r="G278" s="7"/>
      <c r="H278" s="7"/>
      <c r="I278" s="8"/>
    </row>
    <row x14ac:dyDescent="0.25" r="279" customHeight="1" ht="14.25">
      <c r="A279" s="30"/>
      <c r="B279" s="30"/>
      <c r="C279" s="7"/>
      <c r="D279" s="30"/>
      <c r="E279" s="7"/>
      <c r="F279" s="7"/>
      <c r="G279" s="7"/>
      <c r="H279" s="7"/>
      <c r="I279" s="8"/>
    </row>
    <row x14ac:dyDescent="0.25" r="280" customHeight="1" ht="14.25">
      <c r="A280" s="30"/>
      <c r="B280" s="30"/>
      <c r="C280" s="7"/>
      <c r="D280" s="30"/>
      <c r="E280" s="7"/>
      <c r="F280" s="7"/>
      <c r="G280" s="7"/>
      <c r="H280" s="7"/>
      <c r="I280" s="8"/>
    </row>
    <row x14ac:dyDescent="0.25" r="281" customHeight="1" ht="14.25">
      <c r="A281" s="30"/>
      <c r="B281" s="30"/>
      <c r="C281" s="7"/>
      <c r="D281" s="30"/>
      <c r="E281" s="7"/>
      <c r="F281" s="7"/>
      <c r="G281" s="7"/>
      <c r="H281" s="7"/>
      <c r="I281" s="8"/>
    </row>
    <row x14ac:dyDescent="0.25" r="282" customHeight="1" ht="14.25">
      <c r="A282" s="30"/>
      <c r="B282" s="30"/>
      <c r="C282" s="7"/>
      <c r="D282" s="30"/>
      <c r="E282" s="7"/>
      <c r="F282" s="7"/>
      <c r="G282" s="7"/>
      <c r="H282" s="7"/>
      <c r="I282" s="8"/>
    </row>
    <row x14ac:dyDescent="0.25" r="283" customHeight="1" ht="14.25">
      <c r="A283" s="30"/>
      <c r="B283" s="30"/>
      <c r="C283" s="7"/>
      <c r="D283" s="30"/>
      <c r="E283" s="7"/>
      <c r="F283" s="7"/>
      <c r="G283" s="7"/>
      <c r="H283" s="7"/>
      <c r="I283" s="8"/>
    </row>
    <row x14ac:dyDescent="0.25" r="284" customHeight="1" ht="14.25">
      <c r="A284" s="30"/>
      <c r="B284" s="30"/>
      <c r="C284" s="7"/>
      <c r="D284" s="30"/>
      <c r="E284" s="7"/>
      <c r="F284" s="7"/>
      <c r="G284" s="7"/>
      <c r="H284" s="7"/>
      <c r="I284" s="8"/>
    </row>
    <row x14ac:dyDescent="0.25" r="285" customHeight="1" ht="14.25">
      <c r="A285" s="30"/>
      <c r="B285" s="30"/>
      <c r="C285" s="7"/>
      <c r="D285" s="30"/>
      <c r="E285" s="7"/>
      <c r="F285" s="7"/>
      <c r="G285" s="7"/>
      <c r="H285" s="7"/>
      <c r="I285" s="8"/>
    </row>
    <row x14ac:dyDescent="0.25" r="286" customHeight="1" ht="14.25">
      <c r="A286" s="30"/>
      <c r="B286" s="30"/>
      <c r="C286" s="7"/>
      <c r="D286" s="30"/>
      <c r="E286" s="7"/>
      <c r="F286" s="7"/>
      <c r="G286" s="7"/>
      <c r="H286" s="7"/>
      <c r="I286" s="8"/>
    </row>
    <row x14ac:dyDescent="0.25" r="287" customHeight="1" ht="14.25">
      <c r="A287" s="30"/>
      <c r="B287" s="30"/>
      <c r="C287" s="7"/>
      <c r="D287" s="30"/>
      <c r="E287" s="7"/>
      <c r="F287" s="7"/>
      <c r="G287" s="7"/>
      <c r="H287" s="7"/>
      <c r="I287" s="8"/>
    </row>
    <row x14ac:dyDescent="0.25" r="288" customHeight="1" ht="14.25">
      <c r="A288" s="30"/>
      <c r="B288" s="30"/>
      <c r="C288" s="7"/>
      <c r="D288" s="30"/>
      <c r="E288" s="7"/>
      <c r="F288" s="7"/>
      <c r="G288" s="7"/>
      <c r="H288" s="7"/>
      <c r="I288" s="8"/>
    </row>
    <row x14ac:dyDescent="0.25" r="289" customHeight="1" ht="14.25">
      <c r="A289" s="30"/>
      <c r="B289" s="30"/>
      <c r="C289" s="7"/>
      <c r="D289" s="30"/>
      <c r="E289" s="7"/>
      <c r="F289" s="7"/>
      <c r="G289" s="7"/>
      <c r="H289" s="7"/>
      <c r="I289" s="8"/>
    </row>
    <row x14ac:dyDescent="0.25" r="290" customHeight="1" ht="14.25">
      <c r="A290" s="30"/>
      <c r="B290" s="30"/>
      <c r="C290" s="7"/>
      <c r="D290" s="30"/>
      <c r="E290" s="7"/>
      <c r="F290" s="7"/>
      <c r="G290" s="7"/>
      <c r="H290" s="7"/>
      <c r="I290" s="8"/>
    </row>
    <row x14ac:dyDescent="0.25" r="291" customHeight="1" ht="14.25">
      <c r="A291" s="30"/>
      <c r="B291" s="30"/>
      <c r="C291" s="7"/>
      <c r="D291" s="30"/>
      <c r="E291" s="7"/>
      <c r="F291" s="7"/>
      <c r="G291" s="7"/>
      <c r="H291" s="7"/>
      <c r="I291" s="8"/>
    </row>
    <row x14ac:dyDescent="0.25" r="292" customHeight="1" ht="14.25">
      <c r="A292" s="30"/>
      <c r="B292" s="30"/>
      <c r="C292" s="7"/>
      <c r="D292" s="30"/>
      <c r="E292" s="7"/>
      <c r="F292" s="7"/>
      <c r="G292" s="7"/>
      <c r="H292" s="7"/>
      <c r="I292" s="8"/>
    </row>
    <row x14ac:dyDescent="0.25" r="293" customHeight="1" ht="14.25">
      <c r="A293" s="30"/>
      <c r="B293" s="30"/>
      <c r="C293" s="7"/>
      <c r="D293" s="30"/>
      <c r="E293" s="7"/>
      <c r="F293" s="7"/>
      <c r="G293" s="7"/>
      <c r="H293" s="7"/>
      <c r="I293" s="8"/>
    </row>
    <row x14ac:dyDescent="0.25" r="294" customHeight="1" ht="14.25">
      <c r="A294" s="30"/>
      <c r="B294" s="30"/>
      <c r="C294" s="7"/>
      <c r="D294" s="30"/>
      <c r="E294" s="7"/>
      <c r="F294" s="7"/>
      <c r="G294" s="7"/>
      <c r="H294" s="7"/>
      <c r="I294" s="8"/>
    </row>
    <row x14ac:dyDescent="0.25" r="295" customHeight="1" ht="14.25">
      <c r="A295" s="30"/>
      <c r="B295" s="30"/>
      <c r="C295" s="7"/>
      <c r="D295" s="30"/>
      <c r="E295" s="7"/>
      <c r="F295" s="7"/>
      <c r="G295" s="7"/>
      <c r="H295" s="7"/>
      <c r="I295" s="8"/>
    </row>
    <row x14ac:dyDescent="0.25" r="296" customHeight="1" ht="14.25">
      <c r="A296" s="30"/>
      <c r="B296" s="30"/>
      <c r="C296" s="7"/>
      <c r="D296" s="30"/>
      <c r="E296" s="7"/>
      <c r="F296" s="7"/>
      <c r="G296" s="7"/>
      <c r="H296" s="7"/>
      <c r="I296" s="8"/>
    </row>
    <row x14ac:dyDescent="0.25" r="297" customHeight="1" ht="14.25">
      <c r="A297" s="30"/>
      <c r="B297" s="30"/>
      <c r="C297" s="7"/>
      <c r="D297" s="30"/>
      <c r="E297" s="7"/>
      <c r="F297" s="7"/>
      <c r="G297" s="7"/>
      <c r="H297" s="7"/>
      <c r="I297" s="8"/>
    </row>
    <row x14ac:dyDescent="0.25" r="298" customHeight="1" ht="14.25">
      <c r="A298" s="30"/>
      <c r="B298" s="30"/>
      <c r="C298" s="7"/>
      <c r="D298" s="30"/>
      <c r="E298" s="7"/>
      <c r="F298" s="7"/>
      <c r="G298" s="7"/>
      <c r="H298" s="7"/>
      <c r="I298" s="8"/>
    </row>
    <row x14ac:dyDescent="0.25" r="299" customHeight="1" ht="14.25">
      <c r="A299" s="30"/>
      <c r="B299" s="30"/>
      <c r="C299" s="7"/>
      <c r="D299" s="30"/>
      <c r="E299" s="7"/>
      <c r="F299" s="7"/>
      <c r="G299" s="7"/>
      <c r="H299" s="7"/>
      <c r="I299" s="8"/>
    </row>
    <row x14ac:dyDescent="0.25" r="300" customHeight="1" ht="14.25">
      <c r="A300" s="30"/>
      <c r="B300" s="30"/>
      <c r="C300" s="7"/>
      <c r="D300" s="30"/>
      <c r="E300" s="7"/>
      <c r="F300" s="7"/>
      <c r="G300" s="7"/>
      <c r="H300" s="7"/>
      <c r="I300" s="8"/>
    </row>
    <row x14ac:dyDescent="0.25" r="301" customHeight="1" ht="14.25">
      <c r="A301" s="30"/>
      <c r="B301" s="30"/>
      <c r="C301" s="7"/>
      <c r="D301" s="30"/>
      <c r="E301" s="7"/>
      <c r="F301" s="7"/>
      <c r="G301" s="7"/>
      <c r="H301" s="7"/>
      <c r="I301" s="8"/>
    </row>
    <row x14ac:dyDescent="0.25" r="302" customHeight="1" ht="14.25">
      <c r="A302" s="30"/>
      <c r="B302" s="30"/>
      <c r="C302" s="7"/>
      <c r="D302" s="30"/>
      <c r="E302" s="7"/>
      <c r="F302" s="7"/>
      <c r="G302" s="7"/>
      <c r="H302" s="7"/>
      <c r="I302" s="8"/>
    </row>
    <row x14ac:dyDescent="0.25" r="303" customHeight="1" ht="14.25">
      <c r="A303" s="30"/>
      <c r="B303" s="30"/>
      <c r="C303" s="7"/>
      <c r="D303" s="30"/>
      <c r="E303" s="7"/>
      <c r="F303" s="7"/>
      <c r="G303" s="7"/>
      <c r="H303" s="7"/>
      <c r="I303" s="8"/>
    </row>
    <row x14ac:dyDescent="0.25" r="304" customHeight="1" ht="14.25">
      <c r="A304" s="30"/>
      <c r="B304" s="30"/>
      <c r="C304" s="7"/>
      <c r="D304" s="30"/>
      <c r="E304" s="7"/>
      <c r="F304" s="7"/>
      <c r="G304" s="7"/>
      <c r="H304" s="7"/>
      <c r="I304" s="8"/>
    </row>
    <row x14ac:dyDescent="0.25" r="305" customHeight="1" ht="14.25">
      <c r="A305" s="30"/>
      <c r="B305" s="30"/>
      <c r="C305" s="7"/>
      <c r="D305" s="30"/>
      <c r="E305" s="7"/>
      <c r="F305" s="7"/>
      <c r="G305" s="7"/>
      <c r="H305" s="7"/>
      <c r="I305" s="8"/>
    </row>
    <row x14ac:dyDescent="0.25" r="306" customHeight="1" ht="14.25">
      <c r="A306" s="30"/>
      <c r="B306" s="30"/>
      <c r="C306" s="7"/>
      <c r="D306" s="30"/>
      <c r="E306" s="7"/>
      <c r="F306" s="7"/>
      <c r="G306" s="7"/>
      <c r="H306" s="7"/>
      <c r="I306" s="8"/>
    </row>
    <row x14ac:dyDescent="0.25" r="307" customHeight="1" ht="14.25">
      <c r="A307" s="30"/>
      <c r="B307" s="30"/>
      <c r="C307" s="7"/>
      <c r="D307" s="30"/>
      <c r="E307" s="7"/>
      <c r="F307" s="7"/>
      <c r="G307" s="7"/>
      <c r="H307" s="7"/>
      <c r="I307" s="8"/>
    </row>
    <row x14ac:dyDescent="0.25" r="308" customHeight="1" ht="14.25">
      <c r="A308" s="30"/>
      <c r="B308" s="30"/>
      <c r="C308" s="7"/>
      <c r="D308" s="30"/>
      <c r="E308" s="7"/>
      <c r="F308" s="7"/>
      <c r="G308" s="7"/>
      <c r="H308" s="7"/>
      <c r="I308" s="8"/>
    </row>
    <row x14ac:dyDescent="0.25" r="309" customHeight="1" ht="14.25">
      <c r="A309" s="30"/>
      <c r="B309" s="30"/>
      <c r="C309" s="7"/>
      <c r="D309" s="30"/>
      <c r="E309" s="7"/>
      <c r="F309" s="7"/>
      <c r="G309" s="7"/>
      <c r="H309" s="7"/>
      <c r="I309" s="8"/>
    </row>
    <row x14ac:dyDescent="0.25" r="310" customHeight="1" ht="14.25">
      <c r="A310" s="30"/>
      <c r="B310" s="30"/>
      <c r="C310" s="7"/>
      <c r="D310" s="30"/>
      <c r="E310" s="7"/>
      <c r="F310" s="7"/>
      <c r="G310" s="7"/>
      <c r="H310" s="7"/>
      <c r="I310" s="8"/>
    </row>
    <row x14ac:dyDescent="0.25" r="311" customHeight="1" ht="14.25">
      <c r="A311" s="30"/>
      <c r="B311" s="30"/>
      <c r="C311" s="7"/>
      <c r="D311" s="30"/>
      <c r="E311" s="7"/>
      <c r="F311" s="7"/>
      <c r="G311" s="7"/>
      <c r="H311" s="7"/>
      <c r="I311" s="8"/>
    </row>
    <row x14ac:dyDescent="0.25" r="312" customHeight="1" ht="14.25">
      <c r="A312" s="30"/>
      <c r="B312" s="30"/>
      <c r="C312" s="7"/>
      <c r="D312" s="30"/>
      <c r="E312" s="7"/>
      <c r="F312" s="7"/>
      <c r="G312" s="7"/>
      <c r="H312" s="7"/>
      <c r="I312" s="8"/>
    </row>
    <row x14ac:dyDescent="0.25" r="313" customHeight="1" ht="14.25">
      <c r="A313" s="30"/>
      <c r="B313" s="30"/>
      <c r="C313" s="7"/>
      <c r="D313" s="30"/>
      <c r="E313" s="7"/>
      <c r="F313" s="7"/>
      <c r="G313" s="7"/>
      <c r="H313" s="7"/>
      <c r="I313" s="8"/>
    </row>
    <row x14ac:dyDescent="0.25" r="314" customHeight="1" ht="14.25">
      <c r="A314" s="30"/>
      <c r="B314" s="30"/>
      <c r="C314" s="7"/>
      <c r="D314" s="30"/>
      <c r="E314" s="7"/>
      <c r="F314" s="7"/>
      <c r="G314" s="7"/>
      <c r="H314" s="7"/>
      <c r="I314" s="8"/>
    </row>
    <row x14ac:dyDescent="0.25" r="315" customHeight="1" ht="14.25">
      <c r="A315" s="30"/>
      <c r="B315" s="30"/>
      <c r="C315" s="7"/>
      <c r="D315" s="30"/>
      <c r="E315" s="7"/>
      <c r="F315" s="7"/>
      <c r="G315" s="7"/>
      <c r="H315" s="7"/>
      <c r="I315" s="8"/>
    </row>
    <row x14ac:dyDescent="0.25" r="316" customHeight="1" ht="14.25">
      <c r="A316" s="30"/>
      <c r="B316" s="30"/>
      <c r="C316" s="7"/>
      <c r="D316" s="30"/>
      <c r="E316" s="7"/>
      <c r="F316" s="7"/>
      <c r="G316" s="7"/>
      <c r="H316" s="7"/>
      <c r="I316" s="8"/>
    </row>
    <row x14ac:dyDescent="0.25" r="317" customHeight="1" ht="14.25">
      <c r="A317" s="30"/>
      <c r="B317" s="30"/>
      <c r="C317" s="7"/>
      <c r="D317" s="30"/>
      <c r="E317" s="7"/>
      <c r="F317" s="7"/>
      <c r="G317" s="7"/>
      <c r="H317" s="7"/>
      <c r="I317" s="8"/>
    </row>
    <row x14ac:dyDescent="0.25" r="318" customHeight="1" ht="14.25">
      <c r="A318" s="30"/>
      <c r="B318" s="30"/>
      <c r="C318" s="7"/>
      <c r="D318" s="30"/>
      <c r="E318" s="7"/>
      <c r="F318" s="7"/>
      <c r="G318" s="7"/>
      <c r="H318" s="7"/>
      <c r="I318" s="8"/>
    </row>
    <row x14ac:dyDescent="0.25" r="319" customHeight="1" ht="14.25">
      <c r="A319" s="30"/>
      <c r="B319" s="30"/>
      <c r="C319" s="7"/>
      <c r="D319" s="30"/>
      <c r="E319" s="7"/>
      <c r="F319" s="7"/>
      <c r="G319" s="7"/>
      <c r="H319" s="7"/>
      <c r="I319" s="8"/>
    </row>
    <row x14ac:dyDescent="0.25" r="320" customHeight="1" ht="14.25">
      <c r="A320" s="30"/>
      <c r="B320" s="30"/>
      <c r="C320" s="7"/>
      <c r="D320" s="30"/>
      <c r="E320" s="7"/>
      <c r="F320" s="7"/>
      <c r="G320" s="7"/>
      <c r="H320" s="7"/>
      <c r="I320" s="8"/>
    </row>
    <row x14ac:dyDescent="0.25" r="321" customHeight="1" ht="14.25">
      <c r="A321" s="30"/>
      <c r="B321" s="30"/>
      <c r="C321" s="7"/>
      <c r="D321" s="30"/>
      <c r="E321" s="7"/>
      <c r="F321" s="7"/>
      <c r="G321" s="7"/>
      <c r="H321" s="7"/>
      <c r="I321" s="8"/>
    </row>
    <row x14ac:dyDescent="0.25" r="322" customHeight="1" ht="14.25">
      <c r="A322" s="30"/>
      <c r="B322" s="30"/>
      <c r="C322" s="7"/>
      <c r="D322" s="30"/>
      <c r="E322" s="7"/>
      <c r="F322" s="7"/>
      <c r="G322" s="7"/>
      <c r="H322" s="7"/>
      <c r="I322" s="8"/>
    </row>
    <row x14ac:dyDescent="0.25" r="323" customHeight="1" ht="14.25">
      <c r="A323" s="30"/>
      <c r="B323" s="30"/>
      <c r="C323" s="7"/>
      <c r="D323" s="30"/>
      <c r="E323" s="7"/>
      <c r="F323" s="7"/>
      <c r="G323" s="7"/>
      <c r="H323" s="7"/>
      <c r="I323" s="8"/>
    </row>
    <row x14ac:dyDescent="0.25" r="324" customHeight="1" ht="14.25">
      <c r="A324" s="30"/>
      <c r="B324" s="30"/>
      <c r="C324" s="7"/>
      <c r="D324" s="30"/>
      <c r="E324" s="7"/>
      <c r="F324" s="7"/>
      <c r="G324" s="7"/>
      <c r="H324" s="7"/>
      <c r="I324" s="8"/>
    </row>
    <row x14ac:dyDescent="0.25" r="325" customHeight="1" ht="14.25">
      <c r="A325" s="30"/>
      <c r="B325" s="30"/>
      <c r="C325" s="7"/>
      <c r="D325" s="30"/>
      <c r="E325" s="7"/>
      <c r="F325" s="7"/>
      <c r="G325" s="7"/>
      <c r="H325" s="7"/>
      <c r="I325" s="8"/>
    </row>
    <row x14ac:dyDescent="0.25" r="326" customHeight="1" ht="14.25">
      <c r="A326" s="30"/>
      <c r="B326" s="30"/>
      <c r="C326" s="7"/>
      <c r="D326" s="30"/>
      <c r="E326" s="7"/>
      <c r="F326" s="7"/>
      <c r="G326" s="7"/>
      <c r="H326" s="7"/>
      <c r="I326" s="8"/>
    </row>
    <row x14ac:dyDescent="0.25" r="327" customHeight="1" ht="14.25">
      <c r="A327" s="30"/>
      <c r="B327" s="30"/>
      <c r="C327" s="7"/>
      <c r="D327" s="30"/>
      <c r="E327" s="7"/>
      <c r="F327" s="7"/>
      <c r="G327" s="7"/>
      <c r="H327" s="7"/>
      <c r="I327" s="8"/>
    </row>
    <row x14ac:dyDescent="0.25" r="328" customHeight="1" ht="14.25">
      <c r="A328" s="30"/>
      <c r="B328" s="30"/>
      <c r="C328" s="7"/>
      <c r="D328" s="30"/>
      <c r="E328" s="7"/>
      <c r="F328" s="7"/>
      <c r="G328" s="7"/>
      <c r="H328" s="7"/>
      <c r="I328" s="8"/>
    </row>
    <row x14ac:dyDescent="0.25" r="329" customHeight="1" ht="14.25">
      <c r="A329" s="30"/>
      <c r="B329" s="30"/>
      <c r="C329" s="7"/>
      <c r="D329" s="30"/>
      <c r="E329" s="7"/>
      <c r="F329" s="7"/>
      <c r="G329" s="7"/>
      <c r="H329" s="7"/>
      <c r="I329" s="8"/>
    </row>
    <row x14ac:dyDescent="0.25" r="330" customHeight="1" ht="14.25">
      <c r="A330" s="30"/>
      <c r="B330" s="30"/>
      <c r="C330" s="7"/>
      <c r="D330" s="30"/>
      <c r="E330" s="7"/>
      <c r="F330" s="7"/>
      <c r="G330" s="7"/>
      <c r="H330" s="7"/>
      <c r="I330" s="8"/>
    </row>
    <row x14ac:dyDescent="0.25" r="331" customHeight="1" ht="14.25">
      <c r="A331" s="30"/>
      <c r="B331" s="30"/>
      <c r="C331" s="7"/>
      <c r="D331" s="30"/>
      <c r="E331" s="7"/>
      <c r="F331" s="7"/>
      <c r="G331" s="7"/>
      <c r="H331" s="7"/>
      <c r="I331" s="8"/>
    </row>
    <row x14ac:dyDescent="0.25" r="332" customHeight="1" ht="14.25">
      <c r="A332" s="30"/>
      <c r="B332" s="30"/>
      <c r="C332" s="7"/>
      <c r="D332" s="30"/>
      <c r="E332" s="7"/>
      <c r="F332" s="7"/>
      <c r="G332" s="7"/>
      <c r="H332" s="7"/>
      <c r="I332" s="8"/>
    </row>
    <row x14ac:dyDescent="0.25" r="333" customHeight="1" ht="14.25">
      <c r="A333" s="30"/>
      <c r="B333" s="30"/>
      <c r="C333" s="7"/>
      <c r="D333" s="30"/>
      <c r="E333" s="7"/>
      <c r="F333" s="7"/>
      <c r="G333" s="7"/>
      <c r="H333" s="7"/>
      <c r="I333" s="8"/>
    </row>
    <row x14ac:dyDescent="0.25" r="334" customHeight="1" ht="14.25">
      <c r="A334" s="30"/>
      <c r="B334" s="30"/>
      <c r="C334" s="7"/>
      <c r="D334" s="30"/>
      <c r="E334" s="7"/>
      <c r="F334" s="7"/>
      <c r="G334" s="7"/>
      <c r="H334" s="7"/>
      <c r="I334" s="8"/>
    </row>
    <row x14ac:dyDescent="0.25" r="335" customHeight="1" ht="14.25">
      <c r="A335" s="30"/>
      <c r="B335" s="30"/>
      <c r="C335" s="7"/>
      <c r="D335" s="30"/>
      <c r="E335" s="7"/>
      <c r="F335" s="7"/>
      <c r="G335" s="7"/>
      <c r="H335" s="7"/>
      <c r="I335" s="8"/>
    </row>
    <row x14ac:dyDescent="0.25" r="336" customHeight="1" ht="14.25">
      <c r="A336" s="30"/>
      <c r="B336" s="30"/>
      <c r="C336" s="7"/>
      <c r="D336" s="30"/>
      <c r="E336" s="7"/>
      <c r="F336" s="7"/>
      <c r="G336" s="7"/>
      <c r="H336" s="7"/>
      <c r="I336" s="8"/>
    </row>
    <row x14ac:dyDescent="0.25" r="337" customHeight="1" ht="14.25">
      <c r="A337" s="30"/>
      <c r="B337" s="30"/>
      <c r="C337" s="7"/>
      <c r="D337" s="30"/>
      <c r="E337" s="7"/>
      <c r="F337" s="7"/>
      <c r="G337" s="7"/>
      <c r="H337" s="7"/>
      <c r="I337" s="8"/>
    </row>
    <row x14ac:dyDescent="0.25" r="338" customHeight="1" ht="14.25">
      <c r="A338" s="30"/>
      <c r="B338" s="30"/>
      <c r="C338" s="7"/>
      <c r="D338" s="30"/>
      <c r="E338" s="7"/>
      <c r="F338" s="7"/>
      <c r="G338" s="7"/>
      <c r="H338" s="7"/>
      <c r="I338" s="8"/>
    </row>
    <row x14ac:dyDescent="0.25" r="339" customHeight="1" ht="14.25">
      <c r="A339" s="30"/>
      <c r="B339" s="30"/>
      <c r="C339" s="7"/>
      <c r="D339" s="30"/>
      <c r="E339" s="7"/>
      <c r="F339" s="7"/>
      <c r="G339" s="7"/>
      <c r="H339" s="7"/>
      <c r="I339" s="8"/>
    </row>
    <row x14ac:dyDescent="0.25" r="340" customHeight="1" ht="14.25">
      <c r="A340" s="30"/>
      <c r="B340" s="30"/>
      <c r="C340" s="7"/>
      <c r="D340" s="30"/>
      <c r="E340" s="7"/>
      <c r="F340" s="7"/>
      <c r="G340" s="7"/>
      <c r="H340" s="7"/>
      <c r="I340" s="8"/>
    </row>
    <row x14ac:dyDescent="0.25" r="341" customHeight="1" ht="14.25">
      <c r="A341" s="30"/>
      <c r="B341" s="30"/>
      <c r="C341" s="7"/>
      <c r="D341" s="30"/>
      <c r="E341" s="7"/>
      <c r="F341" s="7"/>
      <c r="G341" s="7"/>
      <c r="H341" s="7"/>
      <c r="I341" s="8"/>
    </row>
    <row x14ac:dyDescent="0.25" r="342" customHeight="1" ht="14.25">
      <c r="A342" s="30"/>
      <c r="B342" s="30"/>
      <c r="C342" s="7"/>
      <c r="D342" s="30"/>
      <c r="E342" s="7"/>
      <c r="F342" s="7"/>
      <c r="G342" s="7"/>
      <c r="H342" s="7"/>
      <c r="I342" s="8"/>
    </row>
    <row x14ac:dyDescent="0.25" r="343" customHeight="1" ht="14.25">
      <c r="A343" s="30"/>
      <c r="B343" s="30"/>
      <c r="C343" s="7"/>
      <c r="D343" s="30"/>
      <c r="E343" s="7"/>
      <c r="F343" s="7"/>
      <c r="G343" s="7"/>
      <c r="H343" s="7"/>
      <c r="I343" s="8"/>
    </row>
    <row x14ac:dyDescent="0.25" r="344" customHeight="1" ht="14.25">
      <c r="A344" s="30"/>
      <c r="B344" s="30"/>
      <c r="C344" s="7"/>
      <c r="D344" s="30"/>
      <c r="E344" s="7"/>
      <c r="F344" s="7"/>
      <c r="G344" s="7"/>
      <c r="H344" s="7"/>
      <c r="I344" s="8"/>
    </row>
    <row x14ac:dyDescent="0.25" r="345" customHeight="1" ht="14.25">
      <c r="A345" s="30"/>
      <c r="B345" s="30"/>
      <c r="C345" s="7"/>
      <c r="D345" s="30"/>
      <c r="E345" s="7"/>
      <c r="F345" s="7"/>
      <c r="G345" s="7"/>
      <c r="H345" s="7"/>
      <c r="I345" s="8"/>
    </row>
    <row x14ac:dyDescent="0.25" r="346" customHeight="1" ht="14.25">
      <c r="A346" s="30"/>
      <c r="B346" s="30"/>
      <c r="C346" s="7"/>
      <c r="D346" s="30"/>
      <c r="E346" s="7"/>
      <c r="F346" s="7"/>
      <c r="G346" s="7"/>
      <c r="H346" s="7"/>
      <c r="I346" s="8"/>
    </row>
    <row x14ac:dyDescent="0.25" r="347" customHeight="1" ht="14.25">
      <c r="A347" s="30"/>
      <c r="B347" s="30"/>
      <c r="C347" s="7"/>
      <c r="D347" s="30"/>
      <c r="E347" s="7"/>
      <c r="F347" s="7"/>
      <c r="G347" s="7"/>
      <c r="H347" s="7"/>
      <c r="I347" s="8"/>
    </row>
    <row x14ac:dyDescent="0.25" r="348" customHeight="1" ht="14.25">
      <c r="A348" s="30"/>
      <c r="B348" s="30"/>
      <c r="C348" s="7"/>
      <c r="D348" s="30"/>
      <c r="E348" s="7"/>
      <c r="F348" s="7"/>
      <c r="G348" s="7"/>
      <c r="H348" s="7"/>
      <c r="I348" s="8"/>
    </row>
    <row x14ac:dyDescent="0.25" r="349" customHeight="1" ht="14.25">
      <c r="A349" s="30"/>
      <c r="B349" s="30"/>
      <c r="C349" s="7"/>
      <c r="D349" s="30"/>
      <c r="E349" s="7"/>
      <c r="F349" s="7"/>
      <c r="G349" s="7"/>
      <c r="H349" s="7"/>
      <c r="I349" s="8"/>
    </row>
    <row x14ac:dyDescent="0.25" r="350" customHeight="1" ht="14.25">
      <c r="A350" s="30"/>
      <c r="B350" s="30"/>
      <c r="C350" s="7"/>
      <c r="D350" s="30"/>
      <c r="E350" s="7"/>
      <c r="F350" s="7"/>
      <c r="G350" s="7"/>
      <c r="H350" s="7"/>
      <c r="I350" s="8"/>
    </row>
    <row x14ac:dyDescent="0.25" r="351" customHeight="1" ht="14.25">
      <c r="A351" s="30"/>
      <c r="B351" s="30"/>
      <c r="C351" s="7"/>
      <c r="D351" s="30"/>
      <c r="E351" s="7"/>
      <c r="F351" s="7"/>
      <c r="G351" s="7"/>
      <c r="H351" s="7"/>
      <c r="I351" s="8"/>
    </row>
    <row x14ac:dyDescent="0.25" r="352" customHeight="1" ht="14.25">
      <c r="A352" s="30"/>
      <c r="B352" s="30"/>
      <c r="C352" s="7"/>
      <c r="D352" s="30"/>
      <c r="E352" s="7"/>
      <c r="F352" s="7"/>
      <c r="G352" s="7"/>
      <c r="H352" s="7"/>
      <c r="I352" s="8"/>
    </row>
    <row x14ac:dyDescent="0.25" r="353" customHeight="1" ht="14.25">
      <c r="A353" s="30"/>
      <c r="B353" s="30"/>
      <c r="C353" s="7"/>
      <c r="D353" s="30"/>
      <c r="E353" s="7"/>
      <c r="F353" s="7"/>
      <c r="G353" s="7"/>
      <c r="H353" s="7"/>
      <c r="I353" s="8"/>
    </row>
    <row x14ac:dyDescent="0.25" r="354" customHeight="1" ht="14.25">
      <c r="A354" s="30"/>
      <c r="B354" s="30"/>
      <c r="C354" s="7"/>
      <c r="D354" s="30"/>
      <c r="E354" s="7"/>
      <c r="F354" s="7"/>
      <c r="G354" s="7"/>
      <c r="H354" s="7"/>
      <c r="I354" s="8"/>
    </row>
    <row x14ac:dyDescent="0.25" r="355" customHeight="1" ht="14.25">
      <c r="A355" s="30"/>
      <c r="B355" s="30"/>
      <c r="C355" s="7"/>
      <c r="D355" s="30"/>
      <c r="E355" s="7"/>
      <c r="F355" s="7"/>
      <c r="G355" s="7"/>
      <c r="H355" s="7"/>
      <c r="I355" s="8"/>
    </row>
    <row x14ac:dyDescent="0.25" r="356" customHeight="1" ht="14.25">
      <c r="A356" s="30"/>
      <c r="B356" s="30"/>
      <c r="C356" s="7"/>
      <c r="D356" s="30"/>
      <c r="E356" s="7"/>
      <c r="F356" s="7"/>
      <c r="G356" s="7"/>
      <c r="H356" s="7"/>
      <c r="I356" s="8"/>
    </row>
    <row x14ac:dyDescent="0.25" r="357" customHeight="1" ht="14.25">
      <c r="A357" s="30"/>
      <c r="B357" s="30"/>
      <c r="C357" s="7"/>
      <c r="D357" s="30"/>
      <c r="E357" s="7"/>
      <c r="F357" s="7"/>
      <c r="G357" s="7"/>
      <c r="H357" s="7"/>
      <c r="I357" s="8"/>
    </row>
    <row x14ac:dyDescent="0.25" r="358" customHeight="1" ht="14.25">
      <c r="A358" s="30"/>
      <c r="B358" s="30"/>
      <c r="C358" s="7"/>
      <c r="D358" s="30"/>
      <c r="E358" s="7"/>
      <c r="F358" s="7"/>
      <c r="G358" s="7"/>
      <c r="H358" s="7"/>
      <c r="I358" s="8"/>
    </row>
    <row x14ac:dyDescent="0.25" r="359" customHeight="1" ht="14.25">
      <c r="A359" s="30"/>
      <c r="B359" s="30"/>
      <c r="C359" s="7"/>
      <c r="D359" s="30"/>
      <c r="E359" s="7"/>
      <c r="F359" s="7"/>
      <c r="G359" s="7"/>
      <c r="H359" s="7"/>
      <c r="I359" s="8"/>
    </row>
    <row x14ac:dyDescent="0.25" r="360" customHeight="1" ht="14.25">
      <c r="A360" s="30"/>
      <c r="B360" s="30"/>
      <c r="C360" s="7"/>
      <c r="D360" s="30"/>
      <c r="E360" s="7"/>
      <c r="F360" s="7"/>
      <c r="G360" s="7"/>
      <c r="H360" s="7"/>
      <c r="I360" s="8"/>
    </row>
    <row x14ac:dyDescent="0.25" r="361" customHeight="1" ht="14.25">
      <c r="A361" s="30"/>
      <c r="B361" s="30"/>
      <c r="C361" s="7"/>
      <c r="D361" s="30"/>
      <c r="E361" s="7"/>
      <c r="F361" s="7"/>
      <c r="G361" s="7"/>
      <c r="H361" s="7"/>
      <c r="I361" s="8"/>
    </row>
    <row x14ac:dyDescent="0.25" r="362" customHeight="1" ht="14.25">
      <c r="A362" s="30"/>
      <c r="B362" s="30"/>
      <c r="C362" s="7"/>
      <c r="D362" s="30"/>
      <c r="E362" s="7"/>
      <c r="F362" s="7"/>
      <c r="G362" s="7"/>
      <c r="H362" s="7"/>
      <c r="I362" s="8"/>
    </row>
    <row x14ac:dyDescent="0.25" r="363" customHeight="1" ht="14.25">
      <c r="A363" s="30"/>
      <c r="B363" s="30"/>
      <c r="C363" s="7"/>
      <c r="D363" s="30"/>
      <c r="E363" s="7"/>
      <c r="F363" s="7"/>
      <c r="G363" s="7"/>
      <c r="H363" s="7"/>
      <c r="I363" s="8"/>
    </row>
    <row x14ac:dyDescent="0.25" r="364" customHeight="1" ht="14.25">
      <c r="A364" s="30"/>
      <c r="B364" s="30"/>
      <c r="C364" s="7"/>
      <c r="D364" s="30"/>
      <c r="E364" s="7"/>
      <c r="F364" s="7"/>
      <c r="G364" s="7"/>
      <c r="H364" s="7"/>
      <c r="I364" s="8"/>
    </row>
    <row x14ac:dyDescent="0.25" r="365" customHeight="1" ht="14.25">
      <c r="A365" s="30"/>
      <c r="B365" s="30"/>
      <c r="C365" s="7"/>
      <c r="D365" s="30"/>
      <c r="E365" s="7"/>
      <c r="F365" s="7"/>
      <c r="G365" s="7"/>
      <c r="H365" s="7"/>
      <c r="I365" s="8"/>
    </row>
    <row x14ac:dyDescent="0.25" r="366" customHeight="1" ht="14.25">
      <c r="A366" s="30"/>
      <c r="B366" s="30"/>
      <c r="C366" s="7"/>
      <c r="D366" s="30"/>
      <c r="E366" s="7"/>
      <c r="F366" s="7"/>
      <c r="G366" s="7"/>
      <c r="H366" s="7"/>
      <c r="I366" s="8"/>
    </row>
    <row x14ac:dyDescent="0.25" r="367" customHeight="1" ht="14.25">
      <c r="A367" s="30"/>
      <c r="B367" s="30"/>
      <c r="C367" s="7"/>
      <c r="D367" s="30"/>
      <c r="E367" s="7"/>
      <c r="F367" s="7"/>
      <c r="G367" s="7"/>
      <c r="H367" s="7"/>
      <c r="I367" s="8"/>
    </row>
    <row x14ac:dyDescent="0.25" r="368" customHeight="1" ht="14.25">
      <c r="A368" s="30"/>
      <c r="B368" s="30"/>
      <c r="C368" s="7"/>
      <c r="D368" s="30"/>
      <c r="E368" s="7"/>
      <c r="F368" s="7"/>
      <c r="G368" s="7"/>
      <c r="H368" s="7"/>
      <c r="I368" s="8"/>
    </row>
    <row x14ac:dyDescent="0.25" r="369" customHeight="1" ht="14.25">
      <c r="A369" s="30"/>
      <c r="B369" s="30"/>
      <c r="C369" s="7"/>
      <c r="D369" s="30"/>
      <c r="E369" s="7"/>
      <c r="F369" s="7"/>
      <c r="G369" s="7"/>
      <c r="H369" s="7"/>
      <c r="I369" s="8"/>
    </row>
    <row x14ac:dyDescent="0.25" r="370" customHeight="1" ht="14.25">
      <c r="A370" s="30"/>
      <c r="B370" s="30"/>
      <c r="C370" s="7"/>
      <c r="D370" s="30"/>
      <c r="E370" s="7"/>
      <c r="F370" s="7"/>
      <c r="G370" s="7"/>
      <c r="H370" s="7"/>
      <c r="I370" s="8"/>
    </row>
    <row x14ac:dyDescent="0.25" r="371" customHeight="1" ht="14.25">
      <c r="A371" s="30"/>
      <c r="B371" s="30"/>
      <c r="C371" s="7"/>
      <c r="D371" s="30"/>
      <c r="E371" s="7"/>
      <c r="F371" s="7"/>
      <c r="G371" s="7"/>
      <c r="H371" s="7"/>
      <c r="I371" s="8"/>
    </row>
    <row x14ac:dyDescent="0.25" r="372" customHeight="1" ht="14.25">
      <c r="A372" s="30"/>
      <c r="B372" s="30"/>
      <c r="C372" s="7"/>
      <c r="D372" s="30"/>
      <c r="E372" s="7"/>
      <c r="F372" s="7"/>
      <c r="G372" s="7"/>
      <c r="H372" s="7"/>
      <c r="I372" s="8"/>
    </row>
    <row x14ac:dyDescent="0.25" r="373" customHeight="1" ht="14.25">
      <c r="A373" s="30"/>
      <c r="B373" s="30"/>
      <c r="C373" s="7"/>
      <c r="D373" s="30"/>
      <c r="E373" s="7"/>
      <c r="F373" s="7"/>
      <c r="G373" s="7"/>
      <c r="H373" s="7"/>
      <c r="I373" s="8"/>
    </row>
    <row x14ac:dyDescent="0.25" r="374" customHeight="1" ht="14.25">
      <c r="A374" s="30"/>
      <c r="B374" s="30"/>
      <c r="C374" s="7"/>
      <c r="D374" s="30"/>
      <c r="E374" s="7"/>
      <c r="F374" s="7"/>
      <c r="G374" s="7"/>
      <c r="H374" s="7"/>
      <c r="I374" s="8"/>
    </row>
    <row x14ac:dyDescent="0.25" r="375" customHeight="1" ht="14.25">
      <c r="A375" s="30"/>
      <c r="B375" s="30"/>
      <c r="C375" s="7"/>
      <c r="D375" s="30"/>
      <c r="E375" s="7"/>
      <c r="F375" s="7"/>
      <c r="G375" s="7"/>
      <c r="H375" s="7"/>
      <c r="I375" s="8"/>
    </row>
    <row x14ac:dyDescent="0.25" r="376" customHeight="1" ht="14.25">
      <c r="A376" s="30"/>
      <c r="B376" s="30"/>
      <c r="C376" s="7"/>
      <c r="D376" s="30"/>
      <c r="E376" s="7"/>
      <c r="F376" s="7"/>
      <c r="G376" s="7"/>
      <c r="H376" s="7"/>
      <c r="I376" s="8"/>
    </row>
    <row x14ac:dyDescent="0.25" r="377" customHeight="1" ht="14.25">
      <c r="A377" s="30"/>
      <c r="B377" s="30"/>
      <c r="C377" s="7"/>
      <c r="D377" s="30"/>
      <c r="E377" s="7"/>
      <c r="F377" s="7"/>
      <c r="G377" s="7"/>
      <c r="H377" s="7"/>
      <c r="I377" s="8"/>
    </row>
    <row x14ac:dyDescent="0.25" r="378" customHeight="1" ht="14.25">
      <c r="A378" s="30"/>
      <c r="B378" s="30"/>
      <c r="C378" s="7"/>
      <c r="D378" s="30"/>
      <c r="E378" s="7"/>
      <c r="F378" s="7"/>
      <c r="G378" s="7"/>
      <c r="H378" s="7"/>
      <c r="I378" s="8"/>
    </row>
    <row x14ac:dyDescent="0.25" r="379" customHeight="1" ht="14.25">
      <c r="A379" s="30"/>
      <c r="B379" s="30"/>
      <c r="C379" s="7"/>
      <c r="D379" s="30"/>
      <c r="E379" s="7"/>
      <c r="F379" s="7"/>
      <c r="G379" s="7"/>
      <c r="H379" s="7"/>
      <c r="I379" s="8"/>
    </row>
    <row x14ac:dyDescent="0.25" r="380" customHeight="1" ht="14.25">
      <c r="A380" s="30"/>
      <c r="B380" s="30"/>
      <c r="C380" s="7"/>
      <c r="D380" s="30"/>
      <c r="E380" s="7"/>
      <c r="F380" s="7"/>
      <c r="G380" s="7"/>
      <c r="H380" s="7"/>
      <c r="I380" s="8"/>
    </row>
    <row x14ac:dyDescent="0.25" r="381" customHeight="1" ht="14.25">
      <c r="A381" s="30"/>
      <c r="B381" s="30"/>
      <c r="C381" s="7"/>
      <c r="D381" s="30"/>
      <c r="E381" s="7"/>
      <c r="F381" s="7"/>
      <c r="G381" s="7"/>
      <c r="H381" s="7"/>
      <c r="I381" s="8"/>
    </row>
    <row x14ac:dyDescent="0.25" r="382" customHeight="1" ht="14.25">
      <c r="A382" s="30"/>
      <c r="B382" s="30"/>
      <c r="C382" s="7"/>
      <c r="D382" s="30"/>
      <c r="E382" s="7"/>
      <c r="F382" s="7"/>
      <c r="G382" s="7"/>
      <c r="H382" s="7"/>
      <c r="I382" s="8"/>
    </row>
    <row x14ac:dyDescent="0.25" r="383" customHeight="1" ht="14.25">
      <c r="A383" s="30"/>
      <c r="B383" s="30"/>
      <c r="C383" s="7"/>
      <c r="D383" s="30"/>
      <c r="E383" s="7"/>
      <c r="F383" s="7"/>
      <c r="G383" s="7"/>
      <c r="H383" s="7"/>
      <c r="I383" s="8"/>
    </row>
    <row x14ac:dyDescent="0.25" r="384" customHeight="1" ht="14.25">
      <c r="A384" s="30"/>
      <c r="B384" s="30"/>
      <c r="C384" s="7"/>
      <c r="D384" s="30"/>
      <c r="E384" s="7"/>
      <c r="F384" s="7"/>
      <c r="G384" s="7"/>
      <c r="H384" s="7"/>
      <c r="I384" s="8"/>
    </row>
    <row x14ac:dyDescent="0.25" r="385" customHeight="1" ht="14.25">
      <c r="A385" s="30"/>
      <c r="B385" s="30"/>
      <c r="C385" s="7"/>
      <c r="D385" s="30"/>
      <c r="E385" s="7"/>
      <c r="F385" s="7"/>
      <c r="G385" s="7"/>
      <c r="H385" s="7"/>
      <c r="I385" s="8"/>
    </row>
    <row x14ac:dyDescent="0.25" r="386" customHeight="1" ht="14.25">
      <c r="A386" s="30"/>
      <c r="B386" s="30"/>
      <c r="C386" s="7"/>
      <c r="D386" s="30"/>
      <c r="E386" s="7"/>
      <c r="F386" s="7"/>
      <c r="G386" s="7"/>
      <c r="H386" s="7"/>
      <c r="I386" s="8"/>
    </row>
    <row x14ac:dyDescent="0.25" r="387" customHeight="1" ht="14.25">
      <c r="A387" s="30"/>
      <c r="B387" s="30"/>
      <c r="C387" s="7"/>
      <c r="D387" s="30"/>
      <c r="E387" s="7"/>
      <c r="F387" s="7"/>
      <c r="G387" s="7"/>
      <c r="H387" s="7"/>
      <c r="I387" s="8"/>
    </row>
    <row x14ac:dyDescent="0.25" r="388" customHeight="1" ht="14.25">
      <c r="A388" s="30"/>
      <c r="B388" s="30"/>
      <c r="C388" s="7"/>
      <c r="D388" s="30"/>
      <c r="E388" s="7"/>
      <c r="F388" s="7"/>
      <c r="G388" s="7"/>
      <c r="H388" s="7"/>
      <c r="I388" s="8"/>
    </row>
    <row x14ac:dyDescent="0.25" r="389" customHeight="1" ht="14.25">
      <c r="A389" s="30"/>
      <c r="B389" s="30"/>
      <c r="C389" s="7"/>
      <c r="D389" s="30"/>
      <c r="E389" s="7"/>
      <c r="F389" s="7"/>
      <c r="G389" s="7"/>
      <c r="H389" s="7"/>
      <c r="I389" s="8"/>
    </row>
    <row x14ac:dyDescent="0.25" r="390" customHeight="1" ht="14.25">
      <c r="A390" s="30"/>
      <c r="B390" s="30"/>
      <c r="C390" s="7"/>
      <c r="D390" s="30"/>
      <c r="E390" s="7"/>
      <c r="F390" s="7"/>
      <c r="G390" s="7"/>
      <c r="H390" s="7"/>
      <c r="I390" s="8"/>
    </row>
    <row x14ac:dyDescent="0.25" r="391" customHeight="1" ht="14.25">
      <c r="A391" s="30"/>
      <c r="B391" s="30"/>
      <c r="C391" s="7"/>
      <c r="D391" s="30"/>
      <c r="E391" s="7"/>
      <c r="F391" s="7"/>
      <c r="G391" s="7"/>
      <c r="H391" s="7"/>
      <c r="I391" s="8"/>
    </row>
    <row x14ac:dyDescent="0.25" r="392" customHeight="1" ht="14.25">
      <c r="A392" s="30"/>
      <c r="B392" s="30"/>
      <c r="C392" s="7"/>
      <c r="D392" s="30"/>
      <c r="E392" s="7"/>
      <c r="F392" s="7"/>
      <c r="G392" s="7"/>
      <c r="H392" s="7"/>
      <c r="I392" s="8"/>
    </row>
    <row x14ac:dyDescent="0.25" r="393" customHeight="1" ht="14.25">
      <c r="A393" s="30"/>
      <c r="B393" s="30"/>
      <c r="C393" s="7"/>
      <c r="D393" s="30"/>
      <c r="E393" s="7"/>
      <c r="F393" s="7"/>
      <c r="G393" s="7"/>
      <c r="H393" s="7"/>
      <c r="I393" s="8"/>
    </row>
    <row x14ac:dyDescent="0.25" r="394" customHeight="1" ht="14.25">
      <c r="A394" s="30"/>
      <c r="B394" s="30"/>
      <c r="C394" s="7"/>
      <c r="D394" s="30"/>
      <c r="E394" s="7"/>
      <c r="F394" s="7"/>
      <c r="G394" s="7"/>
      <c r="H394" s="7"/>
      <c r="I394" s="8"/>
    </row>
    <row x14ac:dyDescent="0.25" r="395" customHeight="1" ht="14.25">
      <c r="A395" s="30"/>
      <c r="B395" s="30"/>
      <c r="C395" s="7"/>
      <c r="D395" s="30"/>
      <c r="E395" s="7"/>
      <c r="F395" s="7"/>
      <c r="G395" s="7"/>
      <c r="H395" s="7"/>
      <c r="I395" s="8"/>
    </row>
    <row x14ac:dyDescent="0.25" r="396" customHeight="1" ht="14.25">
      <c r="A396" s="30"/>
      <c r="B396" s="30"/>
      <c r="C396" s="7"/>
      <c r="D396" s="30"/>
      <c r="E396" s="7"/>
      <c r="F396" s="7"/>
      <c r="G396" s="7"/>
      <c r="H396" s="7"/>
      <c r="I396" s="8"/>
    </row>
    <row x14ac:dyDescent="0.25" r="397" customHeight="1" ht="14.25">
      <c r="A397" s="30"/>
      <c r="B397" s="30"/>
      <c r="C397" s="7"/>
      <c r="D397" s="30"/>
      <c r="E397" s="7"/>
      <c r="F397" s="7"/>
      <c r="G397" s="7"/>
      <c r="H397" s="7"/>
      <c r="I397" s="8"/>
    </row>
    <row x14ac:dyDescent="0.25" r="398" customHeight="1" ht="14.25">
      <c r="A398" s="30"/>
      <c r="B398" s="30"/>
      <c r="C398" s="7"/>
      <c r="D398" s="30"/>
      <c r="E398" s="7"/>
      <c r="F398" s="7"/>
      <c r="G398" s="7"/>
      <c r="H398" s="7"/>
      <c r="I398" s="8"/>
    </row>
    <row x14ac:dyDescent="0.25" r="399" customHeight="1" ht="14.25">
      <c r="A399" s="30"/>
      <c r="B399" s="30"/>
      <c r="C399" s="7"/>
      <c r="D399" s="30"/>
      <c r="E399" s="7"/>
      <c r="F399" s="7"/>
      <c r="G399" s="7"/>
      <c r="H399" s="7"/>
      <c r="I399" s="8"/>
    </row>
    <row x14ac:dyDescent="0.25" r="400" customHeight="1" ht="14.25">
      <c r="A400" s="30"/>
      <c r="B400" s="30"/>
      <c r="C400" s="7"/>
      <c r="D400" s="30"/>
      <c r="E400" s="7"/>
      <c r="F400" s="7"/>
      <c r="G400" s="7"/>
      <c r="H400" s="7"/>
      <c r="I400" s="8"/>
    </row>
    <row x14ac:dyDescent="0.25" r="401" customHeight="1" ht="14.25">
      <c r="A401" s="30"/>
      <c r="B401" s="30"/>
      <c r="C401" s="7"/>
      <c r="D401" s="30"/>
      <c r="E401" s="7"/>
      <c r="F401" s="7"/>
      <c r="G401" s="7"/>
      <c r="H401" s="7"/>
      <c r="I401" s="8"/>
    </row>
    <row x14ac:dyDescent="0.25" r="402" customHeight="1" ht="14.25">
      <c r="A402" s="30"/>
      <c r="B402" s="30"/>
      <c r="C402" s="7"/>
      <c r="D402" s="30"/>
      <c r="E402" s="7"/>
      <c r="F402" s="7"/>
      <c r="G402" s="7"/>
      <c r="H402" s="7"/>
      <c r="I402" s="8"/>
    </row>
    <row x14ac:dyDescent="0.25" r="403" customHeight="1" ht="14.25">
      <c r="A403" s="30"/>
      <c r="B403" s="30"/>
      <c r="C403" s="7"/>
      <c r="D403" s="30"/>
      <c r="E403" s="7"/>
      <c r="F403" s="7"/>
      <c r="G403" s="7"/>
      <c r="H403" s="7"/>
      <c r="I403" s="8"/>
    </row>
    <row x14ac:dyDescent="0.25" r="404" customHeight="1" ht="14.25">
      <c r="A404" s="30"/>
      <c r="B404" s="30"/>
      <c r="C404" s="7"/>
      <c r="D404" s="30"/>
      <c r="E404" s="7"/>
      <c r="F404" s="7"/>
      <c r="G404" s="7"/>
      <c r="H404" s="7"/>
      <c r="I404" s="8"/>
    </row>
    <row x14ac:dyDescent="0.25" r="405" customHeight="1" ht="14.25">
      <c r="A405" s="30"/>
      <c r="B405" s="30"/>
      <c r="C405" s="7"/>
      <c r="D405" s="30"/>
      <c r="E405" s="7"/>
      <c r="F405" s="7"/>
      <c r="G405" s="7"/>
      <c r="H405" s="7"/>
      <c r="I405" s="8"/>
    </row>
    <row x14ac:dyDescent="0.25" r="406" customHeight="1" ht="14.25">
      <c r="A406" s="30"/>
      <c r="B406" s="30"/>
      <c r="C406" s="7"/>
      <c r="D406" s="30"/>
      <c r="E406" s="7"/>
      <c r="F406" s="7"/>
      <c r="G406" s="7"/>
      <c r="H406" s="7"/>
      <c r="I406" s="8"/>
    </row>
    <row x14ac:dyDescent="0.25" r="407" customHeight="1" ht="14.25">
      <c r="A407" s="30"/>
      <c r="B407" s="30"/>
      <c r="C407" s="7"/>
      <c r="D407" s="30"/>
      <c r="E407" s="7"/>
      <c r="F407" s="7"/>
      <c r="G407" s="7"/>
      <c r="H407" s="7"/>
      <c r="I407" s="8"/>
    </row>
    <row x14ac:dyDescent="0.25" r="408" customHeight="1" ht="14.25">
      <c r="A408" s="30"/>
      <c r="B408" s="30"/>
      <c r="C408" s="7"/>
      <c r="D408" s="30"/>
      <c r="E408" s="7"/>
      <c r="F408" s="7"/>
      <c r="G408" s="7"/>
      <c r="H408" s="7"/>
      <c r="I408" s="8"/>
    </row>
    <row x14ac:dyDescent="0.25" r="409" customHeight="1" ht="14.25">
      <c r="A409" s="30"/>
      <c r="B409" s="30"/>
      <c r="C409" s="7"/>
      <c r="D409" s="30"/>
      <c r="E409" s="7"/>
      <c r="F409" s="7"/>
      <c r="G409" s="7"/>
      <c r="H409" s="7"/>
      <c r="I409" s="8"/>
    </row>
    <row x14ac:dyDescent="0.25" r="410" customHeight="1" ht="14.25">
      <c r="A410" s="30"/>
      <c r="B410" s="30"/>
      <c r="C410" s="7"/>
      <c r="D410" s="30"/>
      <c r="E410" s="7"/>
      <c r="F410" s="7"/>
      <c r="G410" s="7"/>
      <c r="H410" s="7"/>
      <c r="I410" s="8"/>
    </row>
    <row x14ac:dyDescent="0.25" r="411" customHeight="1" ht="14.25">
      <c r="A411" s="30"/>
      <c r="B411" s="30"/>
      <c r="C411" s="7"/>
      <c r="D411" s="30"/>
      <c r="E411" s="7"/>
      <c r="F411" s="7"/>
      <c r="G411" s="7"/>
      <c r="H411" s="7"/>
      <c r="I411" s="8"/>
    </row>
    <row x14ac:dyDescent="0.25" r="412" customHeight="1" ht="14.25">
      <c r="A412" s="30"/>
      <c r="B412" s="30"/>
      <c r="C412" s="7"/>
      <c r="D412" s="30"/>
      <c r="E412" s="7"/>
      <c r="F412" s="7"/>
      <c r="G412" s="7"/>
      <c r="H412" s="7"/>
      <c r="I412" s="8"/>
    </row>
    <row x14ac:dyDescent="0.25" r="413" customHeight="1" ht="14.25">
      <c r="A413" s="30"/>
      <c r="B413" s="30"/>
      <c r="C413" s="7"/>
      <c r="D413" s="30"/>
      <c r="E413" s="7"/>
      <c r="F413" s="7"/>
      <c r="G413" s="7"/>
      <c r="H413" s="7"/>
      <c r="I413" s="8"/>
    </row>
    <row x14ac:dyDescent="0.25" r="414" customHeight="1" ht="14.25">
      <c r="A414" s="30"/>
      <c r="B414" s="30"/>
      <c r="C414" s="7"/>
      <c r="D414" s="30"/>
      <c r="E414" s="7"/>
      <c r="F414" s="7"/>
      <c r="G414" s="7"/>
      <c r="H414" s="7"/>
      <c r="I414" s="8"/>
    </row>
    <row x14ac:dyDescent="0.25" r="415" customHeight="1" ht="14.25">
      <c r="A415" s="30"/>
      <c r="B415" s="30"/>
      <c r="C415" s="7"/>
      <c r="D415" s="30"/>
      <c r="E415" s="7"/>
      <c r="F415" s="7"/>
      <c r="G415" s="7"/>
      <c r="H415" s="7"/>
      <c r="I415" s="8"/>
    </row>
    <row x14ac:dyDescent="0.25" r="416" customHeight="1" ht="14.25">
      <c r="A416" s="30"/>
      <c r="B416" s="30"/>
      <c r="C416" s="7"/>
      <c r="D416" s="30"/>
      <c r="E416" s="7"/>
      <c r="F416" s="7"/>
      <c r="G416" s="7"/>
      <c r="H416" s="7"/>
      <c r="I416" s="8"/>
    </row>
    <row x14ac:dyDescent="0.25" r="417" customHeight="1" ht="14.25">
      <c r="A417" s="30"/>
      <c r="B417" s="30"/>
      <c r="C417" s="7"/>
      <c r="D417" s="30"/>
      <c r="E417" s="7"/>
      <c r="F417" s="7"/>
      <c r="G417" s="7"/>
      <c r="H417" s="7"/>
      <c r="I417" s="8"/>
    </row>
    <row x14ac:dyDescent="0.25" r="418" customHeight="1" ht="14.25">
      <c r="A418" s="30"/>
      <c r="B418" s="30"/>
      <c r="C418" s="7"/>
      <c r="D418" s="30"/>
      <c r="E418" s="7"/>
      <c r="F418" s="7"/>
      <c r="G418" s="7"/>
      <c r="H418" s="7"/>
      <c r="I418" s="8"/>
    </row>
    <row x14ac:dyDescent="0.25" r="419" customHeight="1" ht="14.25">
      <c r="A419" s="30"/>
      <c r="B419" s="30"/>
      <c r="C419" s="7"/>
      <c r="D419" s="30"/>
      <c r="E419" s="7"/>
      <c r="F419" s="7"/>
      <c r="G419" s="7"/>
      <c r="H419" s="7"/>
      <c r="I419" s="8"/>
    </row>
    <row x14ac:dyDescent="0.25" r="420" customHeight="1" ht="14.25">
      <c r="A420" s="30"/>
      <c r="B420" s="30"/>
      <c r="C420" s="7"/>
      <c r="D420" s="30"/>
      <c r="E420" s="7"/>
      <c r="F420" s="7"/>
      <c r="G420" s="7"/>
      <c r="H420" s="7"/>
      <c r="I420" s="8"/>
    </row>
    <row x14ac:dyDescent="0.25" r="421" customHeight="1" ht="14.25">
      <c r="A421" s="30"/>
      <c r="B421" s="30"/>
      <c r="C421" s="7"/>
      <c r="D421" s="30"/>
      <c r="E421" s="7"/>
      <c r="F421" s="7"/>
      <c r="G421" s="7"/>
      <c r="H421" s="7"/>
      <c r="I421" s="8"/>
    </row>
    <row x14ac:dyDescent="0.25" r="422" customHeight="1" ht="14.25">
      <c r="A422" s="30"/>
      <c r="B422" s="30"/>
      <c r="C422" s="7"/>
      <c r="D422" s="30"/>
      <c r="E422" s="7"/>
      <c r="F422" s="7"/>
      <c r="G422" s="7"/>
      <c r="H422" s="7"/>
      <c r="I422" s="8"/>
    </row>
    <row x14ac:dyDescent="0.25" r="423" customHeight="1" ht="14.25">
      <c r="A423" s="30"/>
      <c r="B423" s="30"/>
      <c r="C423" s="7"/>
      <c r="D423" s="30"/>
      <c r="E423" s="7"/>
      <c r="F423" s="7"/>
      <c r="G423" s="7"/>
      <c r="H423" s="7"/>
      <c r="I423" s="8"/>
    </row>
    <row x14ac:dyDescent="0.25" r="424" customHeight="1" ht="14.25">
      <c r="A424" s="30"/>
      <c r="B424" s="30"/>
      <c r="C424" s="7"/>
      <c r="D424" s="30"/>
      <c r="E424" s="7"/>
      <c r="F424" s="7"/>
      <c r="G424" s="7"/>
      <c r="H424" s="7"/>
      <c r="I424" s="8"/>
    </row>
    <row x14ac:dyDescent="0.25" r="425" customHeight="1" ht="14.25">
      <c r="A425" s="30"/>
      <c r="B425" s="30"/>
      <c r="C425" s="7"/>
      <c r="D425" s="30"/>
      <c r="E425" s="7"/>
      <c r="F425" s="7"/>
      <c r="G425" s="7"/>
      <c r="H425" s="7"/>
      <c r="I425" s="8"/>
    </row>
    <row x14ac:dyDescent="0.25" r="426" customHeight="1" ht="14.25">
      <c r="A426" s="30"/>
      <c r="B426" s="30"/>
      <c r="C426" s="7"/>
      <c r="D426" s="30"/>
      <c r="E426" s="7"/>
      <c r="F426" s="7"/>
      <c r="G426" s="7"/>
      <c r="H426" s="7"/>
      <c r="I426" s="8"/>
    </row>
    <row x14ac:dyDescent="0.25" r="427" customHeight="1" ht="14.25">
      <c r="A427" s="30"/>
      <c r="B427" s="30"/>
      <c r="C427" s="7"/>
      <c r="D427" s="30"/>
      <c r="E427" s="7"/>
      <c r="F427" s="7"/>
      <c r="G427" s="7"/>
      <c r="H427" s="7"/>
      <c r="I427" s="8"/>
    </row>
    <row x14ac:dyDescent="0.25" r="428" customHeight="1" ht="14.25">
      <c r="A428" s="30"/>
      <c r="B428" s="30"/>
      <c r="C428" s="7"/>
      <c r="D428" s="30"/>
      <c r="E428" s="7"/>
      <c r="F428" s="7"/>
      <c r="G428" s="7"/>
      <c r="H428" s="7"/>
      <c r="I428" s="8"/>
    </row>
    <row x14ac:dyDescent="0.25" r="429" customHeight="1" ht="14.25">
      <c r="A429" s="30"/>
      <c r="B429" s="30"/>
      <c r="C429" s="7"/>
      <c r="D429" s="30"/>
      <c r="E429" s="7"/>
      <c r="F429" s="7"/>
      <c r="G429" s="7"/>
      <c r="H429" s="7"/>
      <c r="I429" s="8"/>
    </row>
    <row x14ac:dyDescent="0.25" r="430" customHeight="1" ht="14.25">
      <c r="A430" s="30"/>
      <c r="B430" s="30"/>
      <c r="C430" s="7"/>
      <c r="D430" s="30"/>
      <c r="E430" s="7"/>
      <c r="F430" s="7"/>
      <c r="G430" s="7"/>
      <c r="H430" s="7"/>
      <c r="I430" s="8"/>
    </row>
    <row x14ac:dyDescent="0.25" r="431" customHeight="1" ht="14.25">
      <c r="A431" s="30"/>
      <c r="B431" s="30"/>
      <c r="C431" s="7"/>
      <c r="D431" s="30"/>
      <c r="E431" s="7"/>
      <c r="F431" s="7"/>
      <c r="G431" s="7"/>
      <c r="H431" s="7"/>
      <c r="I431" s="8"/>
    </row>
    <row x14ac:dyDescent="0.25" r="432" customHeight="1" ht="14.25">
      <c r="A432" s="30"/>
      <c r="B432" s="30"/>
      <c r="C432" s="7"/>
      <c r="D432" s="30"/>
      <c r="E432" s="7"/>
      <c r="F432" s="7"/>
      <c r="G432" s="7"/>
      <c r="H432" s="7"/>
      <c r="I432" s="8"/>
    </row>
    <row x14ac:dyDescent="0.25" r="433" customHeight="1" ht="14.25">
      <c r="A433" s="30"/>
      <c r="B433" s="30"/>
      <c r="C433" s="7"/>
      <c r="D433" s="30"/>
      <c r="E433" s="7"/>
      <c r="F433" s="7"/>
      <c r="G433" s="7"/>
      <c r="H433" s="7"/>
      <c r="I433" s="8"/>
    </row>
    <row x14ac:dyDescent="0.25" r="434" customHeight="1" ht="14.25">
      <c r="A434" s="30"/>
      <c r="B434" s="30"/>
      <c r="C434" s="7"/>
      <c r="D434" s="30"/>
      <c r="E434" s="7"/>
      <c r="F434" s="7"/>
      <c r="G434" s="7"/>
      <c r="H434" s="7"/>
      <c r="I434" s="8"/>
    </row>
    <row x14ac:dyDescent="0.25" r="435" customHeight="1" ht="14.25">
      <c r="A435" s="30"/>
      <c r="B435" s="30"/>
      <c r="C435" s="7"/>
      <c r="D435" s="30"/>
      <c r="E435" s="7"/>
      <c r="F435" s="7"/>
      <c r="G435" s="7"/>
      <c r="H435" s="7"/>
      <c r="I435" s="8"/>
    </row>
    <row x14ac:dyDescent="0.25" r="436" customHeight="1" ht="14.25">
      <c r="A436" s="30"/>
      <c r="B436" s="30"/>
      <c r="C436" s="7"/>
      <c r="D436" s="30"/>
      <c r="E436" s="7"/>
      <c r="F436" s="7"/>
      <c r="G436" s="7"/>
      <c r="H436" s="7"/>
      <c r="I436" s="8"/>
    </row>
    <row x14ac:dyDescent="0.25" r="437" customHeight="1" ht="14.25">
      <c r="A437" s="30"/>
      <c r="B437" s="30"/>
      <c r="C437" s="7"/>
      <c r="D437" s="30"/>
      <c r="E437" s="7"/>
      <c r="F437" s="7"/>
      <c r="G437" s="7"/>
      <c r="H437" s="7"/>
      <c r="I437" s="8"/>
    </row>
    <row x14ac:dyDescent="0.25" r="438" customHeight="1" ht="14.25">
      <c r="A438" s="30"/>
      <c r="B438" s="30"/>
      <c r="C438" s="7"/>
      <c r="D438" s="30"/>
      <c r="E438" s="7"/>
      <c r="F438" s="7"/>
      <c r="G438" s="7"/>
      <c r="H438" s="7"/>
      <c r="I438" s="8"/>
    </row>
    <row x14ac:dyDescent="0.25" r="439" customHeight="1" ht="14.25">
      <c r="A439" s="30"/>
      <c r="B439" s="30"/>
      <c r="C439" s="7"/>
      <c r="D439" s="30"/>
      <c r="E439" s="7"/>
      <c r="F439" s="7"/>
      <c r="G439" s="7"/>
      <c r="H439" s="7"/>
      <c r="I439" s="8"/>
    </row>
    <row x14ac:dyDescent="0.25" r="440" customHeight="1" ht="14.25">
      <c r="A440" s="30"/>
      <c r="B440" s="30"/>
      <c r="C440" s="7"/>
      <c r="D440" s="30"/>
      <c r="E440" s="7"/>
      <c r="F440" s="7"/>
      <c r="G440" s="7"/>
      <c r="H440" s="7"/>
      <c r="I440" s="8"/>
    </row>
    <row x14ac:dyDescent="0.25" r="441" customHeight="1" ht="14.25">
      <c r="A441" s="30"/>
      <c r="B441" s="30"/>
      <c r="C441" s="7"/>
      <c r="D441" s="30"/>
      <c r="E441" s="7"/>
      <c r="F441" s="7"/>
      <c r="G441" s="7"/>
      <c r="H441" s="7"/>
      <c r="I441" s="8"/>
    </row>
    <row x14ac:dyDescent="0.25" r="442" customHeight="1" ht="14.25">
      <c r="A442" s="30"/>
      <c r="B442" s="30"/>
      <c r="C442" s="7"/>
      <c r="D442" s="30"/>
      <c r="E442" s="7"/>
      <c r="F442" s="7"/>
      <c r="G442" s="7"/>
      <c r="H442" s="7"/>
      <c r="I442" s="8"/>
    </row>
    <row x14ac:dyDescent="0.25" r="443" customHeight="1" ht="14.25">
      <c r="A443" s="30"/>
      <c r="B443" s="30"/>
      <c r="C443" s="7"/>
      <c r="D443" s="30"/>
      <c r="E443" s="7"/>
      <c r="F443" s="7"/>
      <c r="G443" s="7"/>
      <c r="H443" s="7"/>
      <c r="I443" s="8"/>
    </row>
    <row x14ac:dyDescent="0.25" r="444" customHeight="1" ht="14.25">
      <c r="A444" s="30"/>
      <c r="B444" s="30"/>
      <c r="C444" s="7"/>
      <c r="D444" s="30"/>
      <c r="E444" s="7"/>
      <c r="F444" s="7"/>
      <c r="G444" s="7"/>
      <c r="H444" s="7"/>
      <c r="I444" s="8"/>
    </row>
    <row x14ac:dyDescent="0.25" r="445" customHeight="1" ht="14.25">
      <c r="A445" s="30"/>
      <c r="B445" s="30"/>
      <c r="C445" s="7"/>
      <c r="D445" s="30"/>
      <c r="E445" s="7"/>
      <c r="F445" s="7"/>
      <c r="G445" s="7"/>
      <c r="H445" s="7"/>
      <c r="I445" s="8"/>
    </row>
    <row x14ac:dyDescent="0.25" r="446" customHeight="1" ht="14.25">
      <c r="A446" s="30"/>
      <c r="B446" s="30"/>
      <c r="C446" s="7"/>
      <c r="D446" s="30"/>
      <c r="E446" s="7"/>
      <c r="F446" s="7"/>
      <c r="G446" s="7"/>
      <c r="H446" s="7"/>
      <c r="I446" s="8"/>
    </row>
    <row x14ac:dyDescent="0.25" r="447" customHeight="1" ht="14.25">
      <c r="A447" s="30"/>
      <c r="B447" s="30"/>
      <c r="C447" s="7"/>
      <c r="D447" s="30"/>
      <c r="E447" s="7"/>
      <c r="F447" s="7"/>
      <c r="G447" s="7"/>
      <c r="H447" s="7"/>
      <c r="I447" s="8"/>
    </row>
    <row x14ac:dyDescent="0.25" r="448" customHeight="1" ht="14.25">
      <c r="A448" s="30"/>
      <c r="B448" s="30"/>
      <c r="C448" s="7"/>
      <c r="D448" s="30"/>
      <c r="E448" s="7"/>
      <c r="F448" s="7"/>
      <c r="G448" s="7"/>
      <c r="H448" s="7"/>
      <c r="I448" s="8"/>
    </row>
    <row x14ac:dyDescent="0.25" r="449" customHeight="1" ht="14.25">
      <c r="A449" s="30"/>
      <c r="B449" s="30"/>
      <c r="C449" s="7"/>
      <c r="D449" s="30"/>
      <c r="E449" s="7"/>
      <c r="F449" s="7"/>
      <c r="G449" s="7"/>
      <c r="H449" s="7"/>
      <c r="I449" s="8"/>
    </row>
    <row x14ac:dyDescent="0.25" r="450" customHeight="1" ht="14.25">
      <c r="A450" s="30"/>
      <c r="B450" s="30"/>
      <c r="C450" s="7"/>
      <c r="D450" s="30"/>
      <c r="E450" s="7"/>
      <c r="F450" s="7"/>
      <c r="G450" s="7"/>
      <c r="H450" s="7"/>
      <c r="I450" s="8"/>
    </row>
    <row x14ac:dyDescent="0.25" r="451" customHeight="1" ht="14.25">
      <c r="A451" s="30"/>
      <c r="B451" s="30"/>
      <c r="C451" s="7"/>
      <c r="D451" s="30"/>
      <c r="E451" s="7"/>
      <c r="F451" s="7"/>
      <c r="G451" s="7"/>
      <c r="H451" s="7"/>
      <c r="I451" s="8"/>
    </row>
    <row x14ac:dyDescent="0.25" r="452" customHeight="1" ht="14.25">
      <c r="A452" s="30"/>
      <c r="B452" s="30"/>
      <c r="C452" s="7"/>
      <c r="D452" s="30"/>
      <c r="E452" s="7"/>
      <c r="F452" s="7"/>
      <c r="G452" s="7"/>
      <c r="H452" s="7"/>
      <c r="I452" s="8"/>
    </row>
    <row x14ac:dyDescent="0.25" r="453" customHeight="1" ht="14.25">
      <c r="A453" s="30"/>
      <c r="B453" s="30"/>
      <c r="C453" s="7"/>
      <c r="D453" s="30"/>
      <c r="E453" s="7"/>
      <c r="F453" s="7"/>
      <c r="G453" s="7"/>
      <c r="H453" s="7"/>
      <c r="I453" s="8"/>
    </row>
    <row x14ac:dyDescent="0.25" r="454" customHeight="1" ht="14.25">
      <c r="A454" s="30"/>
      <c r="B454" s="30"/>
      <c r="C454" s="7"/>
      <c r="D454" s="30"/>
      <c r="E454" s="7"/>
      <c r="F454" s="7"/>
      <c r="G454" s="7"/>
      <c r="H454" s="7"/>
      <c r="I454" s="8"/>
    </row>
    <row x14ac:dyDescent="0.25" r="455" customHeight="1" ht="14.25">
      <c r="A455" s="30"/>
      <c r="B455" s="30"/>
      <c r="C455" s="7"/>
      <c r="D455" s="30"/>
      <c r="E455" s="7"/>
      <c r="F455" s="7"/>
      <c r="G455" s="7"/>
      <c r="H455" s="7"/>
      <c r="I455" s="8"/>
    </row>
    <row x14ac:dyDescent="0.25" r="456" customHeight="1" ht="14.25">
      <c r="A456" s="30"/>
      <c r="B456" s="30"/>
      <c r="C456" s="7"/>
      <c r="D456" s="30"/>
      <c r="E456" s="7"/>
      <c r="F456" s="7"/>
      <c r="G456" s="7"/>
      <c r="H456" s="7"/>
      <c r="I456" s="8"/>
    </row>
    <row x14ac:dyDescent="0.25" r="457" customHeight="1" ht="14.25">
      <c r="A457" s="30"/>
      <c r="B457" s="30"/>
      <c r="C457" s="7"/>
      <c r="D457" s="30"/>
      <c r="E457" s="7"/>
      <c r="F457" s="7"/>
      <c r="G457" s="7"/>
      <c r="H457" s="7"/>
      <c r="I457" s="8"/>
    </row>
    <row x14ac:dyDescent="0.25" r="458" customHeight="1" ht="14.25">
      <c r="A458" s="30"/>
      <c r="B458" s="30"/>
      <c r="C458" s="7"/>
      <c r="D458" s="30"/>
      <c r="E458" s="7"/>
      <c r="F458" s="7"/>
      <c r="G458" s="7"/>
      <c r="H458" s="7"/>
      <c r="I458" s="8"/>
    </row>
    <row x14ac:dyDescent="0.25" r="459" customHeight="1" ht="14.25">
      <c r="A459" s="30"/>
      <c r="B459" s="30"/>
      <c r="C459" s="7"/>
      <c r="D459" s="30"/>
      <c r="E459" s="7"/>
      <c r="F459" s="7"/>
      <c r="G459" s="7"/>
      <c r="H459" s="7"/>
      <c r="I459" s="8"/>
    </row>
    <row x14ac:dyDescent="0.25" r="460" customHeight="1" ht="14.25">
      <c r="A460" s="30"/>
      <c r="B460" s="30"/>
      <c r="C460" s="7"/>
      <c r="D460" s="30"/>
      <c r="E460" s="7"/>
      <c r="F460" s="7"/>
      <c r="G460" s="7"/>
      <c r="H460" s="7"/>
      <c r="I460" s="8"/>
    </row>
    <row x14ac:dyDescent="0.25" r="461" customHeight="1" ht="14.25">
      <c r="A461" s="30"/>
      <c r="B461" s="30"/>
      <c r="C461" s="7"/>
      <c r="D461" s="30"/>
      <c r="E461" s="7"/>
      <c r="F461" s="7"/>
      <c r="G461" s="7"/>
      <c r="H461" s="7"/>
      <c r="I461" s="8"/>
    </row>
    <row x14ac:dyDescent="0.25" r="462" customHeight="1" ht="14.25">
      <c r="A462" s="30"/>
      <c r="B462" s="30"/>
      <c r="C462" s="7"/>
      <c r="D462" s="30"/>
      <c r="E462" s="7"/>
      <c r="F462" s="7"/>
      <c r="G462" s="7"/>
      <c r="H462" s="7"/>
      <c r="I462" s="8"/>
    </row>
    <row x14ac:dyDescent="0.25" r="463" customHeight="1" ht="14.25">
      <c r="A463" s="30"/>
      <c r="B463" s="30"/>
      <c r="C463" s="7"/>
      <c r="D463" s="30"/>
      <c r="E463" s="7"/>
      <c r="F463" s="7"/>
      <c r="G463" s="7"/>
      <c r="H463" s="7"/>
      <c r="I463" s="8"/>
    </row>
    <row x14ac:dyDescent="0.25" r="464" customHeight="1" ht="14.25">
      <c r="A464" s="30"/>
      <c r="B464" s="30"/>
      <c r="C464" s="7"/>
      <c r="D464" s="30"/>
      <c r="E464" s="7"/>
      <c r="F464" s="7"/>
      <c r="G464" s="7"/>
      <c r="H464" s="7"/>
      <c r="I464" s="8"/>
    </row>
    <row x14ac:dyDescent="0.25" r="465" customHeight="1" ht="14.25">
      <c r="A465" s="30"/>
      <c r="B465" s="30"/>
      <c r="C465" s="7"/>
      <c r="D465" s="30"/>
      <c r="E465" s="7"/>
      <c r="F465" s="7"/>
      <c r="G465" s="7"/>
      <c r="H465" s="7"/>
      <c r="I465" s="8"/>
    </row>
    <row x14ac:dyDescent="0.25" r="466" customHeight="1" ht="14.25">
      <c r="A466" s="30"/>
      <c r="B466" s="30"/>
      <c r="C466" s="7"/>
      <c r="D466" s="30"/>
      <c r="E466" s="7"/>
      <c r="F466" s="7"/>
      <c r="G466" s="7"/>
      <c r="H466" s="7"/>
      <c r="I466" s="8"/>
    </row>
    <row x14ac:dyDescent="0.25" r="467" customHeight="1" ht="14.25">
      <c r="A467" s="30"/>
      <c r="B467" s="30"/>
      <c r="C467" s="7"/>
      <c r="D467" s="30"/>
      <c r="E467" s="7"/>
      <c r="F467" s="7"/>
      <c r="G467" s="7"/>
      <c r="H467" s="7"/>
      <c r="I467" s="8"/>
    </row>
    <row x14ac:dyDescent="0.25" r="468" customHeight="1" ht="14.25">
      <c r="A468" s="30"/>
      <c r="B468" s="30"/>
      <c r="C468" s="7"/>
      <c r="D468" s="30"/>
      <c r="E468" s="7"/>
      <c r="F468" s="7"/>
      <c r="G468" s="7"/>
      <c r="H468" s="7"/>
      <c r="I468" s="8"/>
    </row>
    <row x14ac:dyDescent="0.25" r="469" customHeight="1" ht="14.25">
      <c r="A469" s="30"/>
      <c r="B469" s="30"/>
      <c r="C469" s="7"/>
      <c r="D469" s="30"/>
      <c r="E469" s="7"/>
      <c r="F469" s="7"/>
      <c r="G469" s="7"/>
      <c r="H469" s="7"/>
      <c r="I469" s="8"/>
    </row>
    <row x14ac:dyDescent="0.25" r="470" customHeight="1" ht="14.25">
      <c r="A470" s="30"/>
      <c r="B470" s="30"/>
      <c r="C470" s="7"/>
      <c r="D470" s="30"/>
      <c r="E470" s="7"/>
      <c r="F470" s="7"/>
      <c r="G470" s="7"/>
      <c r="H470" s="7"/>
      <c r="I470" s="8"/>
    </row>
    <row x14ac:dyDescent="0.25" r="471" customHeight="1" ht="14.25">
      <c r="A471" s="30"/>
      <c r="B471" s="30"/>
      <c r="C471" s="7"/>
      <c r="D471" s="30"/>
      <c r="E471" s="7"/>
      <c r="F471" s="7"/>
      <c r="G471" s="7"/>
      <c r="H471" s="7"/>
      <c r="I471" s="8"/>
    </row>
    <row x14ac:dyDescent="0.25" r="472" customHeight="1" ht="14.25">
      <c r="A472" s="30"/>
      <c r="B472" s="30"/>
      <c r="C472" s="7"/>
      <c r="D472" s="30"/>
      <c r="E472" s="7"/>
      <c r="F472" s="7"/>
      <c r="G472" s="7"/>
      <c r="H472" s="7"/>
      <c r="I472" s="8"/>
    </row>
    <row x14ac:dyDescent="0.25" r="473" customHeight="1" ht="14.25">
      <c r="A473" s="30"/>
      <c r="B473" s="30"/>
      <c r="C473" s="7"/>
      <c r="D473" s="30"/>
      <c r="E473" s="7"/>
      <c r="F473" s="7"/>
      <c r="G473" s="7"/>
      <c r="H473" s="7"/>
      <c r="I473" s="8"/>
    </row>
    <row x14ac:dyDescent="0.25" r="474" customHeight="1" ht="14.25">
      <c r="A474" s="30"/>
      <c r="B474" s="30"/>
      <c r="C474" s="7"/>
      <c r="D474" s="30"/>
      <c r="E474" s="7"/>
      <c r="F474" s="7"/>
      <c r="G474" s="7"/>
      <c r="H474" s="7"/>
      <c r="I474" s="8"/>
    </row>
    <row x14ac:dyDescent="0.25" r="475" customHeight="1" ht="14.25">
      <c r="A475" s="30"/>
      <c r="B475" s="30"/>
      <c r="C475" s="7"/>
      <c r="D475" s="30"/>
      <c r="E475" s="7"/>
      <c r="F475" s="7"/>
      <c r="G475" s="7"/>
      <c r="H475" s="7"/>
      <c r="I475" s="8"/>
    </row>
    <row x14ac:dyDescent="0.25" r="476" customHeight="1" ht="14.25">
      <c r="A476" s="30"/>
      <c r="B476" s="30"/>
      <c r="C476" s="7"/>
      <c r="D476" s="30"/>
      <c r="E476" s="7"/>
      <c r="F476" s="7"/>
      <c r="G476" s="7"/>
      <c r="H476" s="7"/>
      <c r="I476" s="8"/>
    </row>
    <row x14ac:dyDescent="0.25" r="477" customHeight="1" ht="14.25">
      <c r="A477" s="30"/>
      <c r="B477" s="30"/>
      <c r="C477" s="7"/>
      <c r="D477" s="30"/>
      <c r="E477" s="7"/>
      <c r="F477" s="7"/>
      <c r="G477" s="7"/>
      <c r="H477" s="7"/>
      <c r="I477" s="8"/>
    </row>
    <row x14ac:dyDescent="0.25" r="478" customHeight="1" ht="14.25">
      <c r="A478" s="30"/>
      <c r="B478" s="30"/>
      <c r="C478" s="7"/>
      <c r="D478" s="30"/>
      <c r="E478" s="7"/>
      <c r="F478" s="7"/>
      <c r="G478" s="7"/>
      <c r="H478" s="7"/>
      <c r="I478" s="8"/>
    </row>
    <row x14ac:dyDescent="0.25" r="479" customHeight="1" ht="14.25">
      <c r="A479" s="30"/>
      <c r="B479" s="30"/>
      <c r="C479" s="7"/>
      <c r="D479" s="30"/>
      <c r="E479" s="7"/>
      <c r="F479" s="7"/>
      <c r="G479" s="7"/>
      <c r="H479" s="7"/>
      <c r="I479" s="8"/>
    </row>
    <row x14ac:dyDescent="0.25" r="480" customHeight="1" ht="14.25">
      <c r="A480" s="30"/>
      <c r="B480" s="30"/>
      <c r="C480" s="7"/>
      <c r="D480" s="30"/>
      <c r="E480" s="7"/>
      <c r="F480" s="7"/>
      <c r="G480" s="7"/>
      <c r="H480" s="7"/>
      <c r="I480" s="8"/>
    </row>
    <row x14ac:dyDescent="0.25" r="481" customHeight="1" ht="14.25">
      <c r="A481" s="30"/>
      <c r="B481" s="30"/>
      <c r="C481" s="7"/>
      <c r="D481" s="30"/>
      <c r="E481" s="7"/>
      <c r="F481" s="7"/>
      <c r="G481" s="7"/>
      <c r="H481" s="7"/>
      <c r="I481" s="8"/>
    </row>
    <row x14ac:dyDescent="0.25" r="482" customHeight="1" ht="14.25">
      <c r="A482" s="30"/>
      <c r="B482" s="30"/>
      <c r="C482" s="7"/>
      <c r="D482" s="30"/>
      <c r="E482" s="7"/>
      <c r="F482" s="7"/>
      <c r="G482" s="7"/>
      <c r="H482" s="7"/>
      <c r="I482" s="8"/>
    </row>
    <row x14ac:dyDescent="0.25" r="483" customHeight="1" ht="14.25">
      <c r="A483" s="30"/>
      <c r="B483" s="30"/>
      <c r="C483" s="7"/>
      <c r="D483" s="30"/>
      <c r="E483" s="7"/>
      <c r="F483" s="7"/>
      <c r="G483" s="7"/>
      <c r="H483" s="7"/>
      <c r="I483" s="8"/>
    </row>
    <row x14ac:dyDescent="0.25" r="484" customHeight="1" ht="14.25">
      <c r="A484" s="30"/>
      <c r="B484" s="30"/>
      <c r="C484" s="7"/>
      <c r="D484" s="30"/>
      <c r="E484" s="7"/>
      <c r="F484" s="7"/>
      <c r="G484" s="7"/>
      <c r="H484" s="7"/>
      <c r="I484" s="8"/>
    </row>
    <row x14ac:dyDescent="0.25" r="485" customHeight="1" ht="14.25">
      <c r="A485" s="30"/>
      <c r="B485" s="30"/>
      <c r="C485" s="7"/>
      <c r="D485" s="30"/>
      <c r="E485" s="7"/>
      <c r="F485" s="7"/>
      <c r="G485" s="7"/>
      <c r="H485" s="7"/>
      <c r="I485" s="8"/>
    </row>
    <row x14ac:dyDescent="0.25" r="486" customHeight="1" ht="14.25">
      <c r="A486" s="30"/>
      <c r="B486" s="30"/>
      <c r="C486" s="7"/>
      <c r="D486" s="30"/>
      <c r="E486" s="7"/>
      <c r="F486" s="7"/>
      <c r="G486" s="7"/>
      <c r="H486" s="7"/>
      <c r="I486" s="8"/>
    </row>
    <row x14ac:dyDescent="0.25" r="487" customHeight="1" ht="14.25">
      <c r="A487" s="30"/>
      <c r="B487" s="30"/>
      <c r="C487" s="7"/>
      <c r="D487" s="30"/>
      <c r="E487" s="7"/>
      <c r="F487" s="7"/>
      <c r="G487" s="7"/>
      <c r="H487" s="7"/>
      <c r="I487" s="8"/>
    </row>
    <row x14ac:dyDescent="0.25" r="488" customHeight="1" ht="14.25">
      <c r="A488" s="30"/>
      <c r="B488" s="30"/>
      <c r="C488" s="7"/>
      <c r="D488" s="30"/>
      <c r="E488" s="7"/>
      <c r="F488" s="7"/>
      <c r="G488" s="7"/>
      <c r="H488" s="7"/>
      <c r="I488" s="8"/>
    </row>
    <row x14ac:dyDescent="0.25" r="489" customHeight="1" ht="14.25">
      <c r="A489" s="30"/>
      <c r="B489" s="30"/>
      <c r="C489" s="7"/>
      <c r="D489" s="30"/>
      <c r="E489" s="7"/>
      <c r="F489" s="7"/>
      <c r="G489" s="7"/>
      <c r="H489" s="7"/>
      <c r="I489" s="8"/>
    </row>
    <row x14ac:dyDescent="0.25" r="490" customHeight="1" ht="14.25">
      <c r="A490" s="30"/>
      <c r="B490" s="30"/>
      <c r="C490" s="7"/>
      <c r="D490" s="30"/>
      <c r="E490" s="7"/>
      <c r="F490" s="7"/>
      <c r="G490" s="7"/>
      <c r="H490" s="7"/>
      <c r="I490" s="8"/>
    </row>
    <row x14ac:dyDescent="0.25" r="491" customHeight="1" ht="14.25">
      <c r="A491" s="30"/>
      <c r="B491" s="30"/>
      <c r="C491" s="7"/>
      <c r="D491" s="30"/>
      <c r="E491" s="7"/>
      <c r="F491" s="7"/>
      <c r="G491" s="7"/>
      <c r="H491" s="7"/>
      <c r="I491" s="8"/>
    </row>
    <row x14ac:dyDescent="0.25" r="492" customHeight="1" ht="14.25">
      <c r="A492" s="30"/>
      <c r="B492" s="30"/>
      <c r="C492" s="7"/>
      <c r="D492" s="30"/>
      <c r="E492" s="7"/>
      <c r="F492" s="7"/>
      <c r="G492" s="7"/>
      <c r="H492" s="7"/>
      <c r="I492" s="8"/>
    </row>
    <row x14ac:dyDescent="0.25" r="493" customHeight="1" ht="14.25">
      <c r="A493" s="30"/>
      <c r="B493" s="30"/>
      <c r="C493" s="7"/>
      <c r="D493" s="30"/>
      <c r="E493" s="7"/>
      <c r="F493" s="7"/>
      <c r="G493" s="7"/>
      <c r="H493" s="7"/>
      <c r="I493" s="8"/>
    </row>
    <row x14ac:dyDescent="0.25" r="494" customHeight="1" ht="14.25">
      <c r="A494" s="30"/>
      <c r="B494" s="30"/>
      <c r="C494" s="7"/>
      <c r="D494" s="30"/>
      <c r="E494" s="7"/>
      <c r="F494" s="7"/>
      <c r="G494" s="7"/>
      <c r="H494" s="7"/>
      <c r="I494" s="8"/>
    </row>
    <row x14ac:dyDescent="0.25" r="495" customHeight="1" ht="14.25">
      <c r="A495" s="30"/>
      <c r="B495" s="30"/>
      <c r="C495" s="7"/>
      <c r="D495" s="30"/>
      <c r="E495" s="7"/>
      <c r="F495" s="7"/>
      <c r="G495" s="7"/>
      <c r="H495" s="7"/>
      <c r="I495" s="8"/>
    </row>
    <row x14ac:dyDescent="0.25" r="496" customHeight="1" ht="14.25">
      <c r="A496" s="30"/>
      <c r="B496" s="30"/>
      <c r="C496" s="7"/>
      <c r="D496" s="30"/>
      <c r="E496" s="7"/>
      <c r="F496" s="7"/>
      <c r="G496" s="7"/>
      <c r="H496" s="7"/>
      <c r="I496" s="8"/>
    </row>
    <row x14ac:dyDescent="0.25" r="497" customHeight="1" ht="14.25">
      <c r="A497" s="30"/>
      <c r="B497" s="30"/>
      <c r="C497" s="7"/>
      <c r="D497" s="30"/>
      <c r="E497" s="7"/>
      <c r="F497" s="7"/>
      <c r="G497" s="7"/>
      <c r="H497" s="7"/>
      <c r="I497" s="8"/>
    </row>
    <row x14ac:dyDescent="0.25" r="498" customHeight="1" ht="14.25">
      <c r="A498" s="30"/>
      <c r="B498" s="30"/>
      <c r="C498" s="7"/>
      <c r="D498" s="30"/>
      <c r="E498" s="7"/>
      <c r="F498" s="7"/>
      <c r="G498" s="7"/>
      <c r="H498" s="7"/>
      <c r="I498" s="8"/>
    </row>
    <row x14ac:dyDescent="0.25" r="499" customHeight="1" ht="14.25">
      <c r="A499" s="30"/>
      <c r="B499" s="30"/>
      <c r="C499" s="7"/>
      <c r="D499" s="30"/>
      <c r="E499" s="7"/>
      <c r="F499" s="7"/>
      <c r="G499" s="7"/>
      <c r="H499" s="7"/>
      <c r="I499" s="8"/>
    </row>
    <row x14ac:dyDescent="0.25" r="500" customHeight="1" ht="14.25">
      <c r="A500" s="30"/>
      <c r="B500" s="30"/>
      <c r="C500" s="7"/>
      <c r="D500" s="30"/>
      <c r="E500" s="7"/>
      <c r="F500" s="7"/>
      <c r="G500" s="7"/>
      <c r="H500" s="7"/>
      <c r="I500" s="8"/>
    </row>
    <row x14ac:dyDescent="0.25" r="501" customHeight="1" ht="14.25">
      <c r="A501" s="30"/>
      <c r="B501" s="30"/>
      <c r="C501" s="7"/>
      <c r="D501" s="30"/>
      <c r="E501" s="7"/>
      <c r="F501" s="7"/>
      <c r="G501" s="7"/>
      <c r="H501" s="7"/>
      <c r="I501" s="8"/>
    </row>
    <row x14ac:dyDescent="0.25" r="502" customHeight="1" ht="14.25">
      <c r="A502" s="30"/>
      <c r="B502" s="30"/>
      <c r="C502" s="7"/>
      <c r="D502" s="30"/>
      <c r="E502" s="7"/>
      <c r="F502" s="7"/>
      <c r="G502" s="7"/>
      <c r="H502" s="7"/>
      <c r="I502" s="8"/>
    </row>
    <row x14ac:dyDescent="0.25" r="503" customHeight="1" ht="14.25">
      <c r="A503" s="30"/>
      <c r="B503" s="30"/>
      <c r="C503" s="7"/>
      <c r="D503" s="30"/>
      <c r="E503" s="7"/>
      <c r="F503" s="7"/>
      <c r="G503" s="7"/>
      <c r="H503" s="7"/>
      <c r="I503" s="8"/>
    </row>
    <row x14ac:dyDescent="0.25" r="504" customHeight="1" ht="14.25">
      <c r="A504" s="30"/>
      <c r="B504" s="30"/>
      <c r="C504" s="7"/>
      <c r="D504" s="30"/>
      <c r="E504" s="7"/>
      <c r="F504" s="7"/>
      <c r="G504" s="7"/>
      <c r="H504" s="7"/>
      <c r="I504" s="8"/>
    </row>
    <row x14ac:dyDescent="0.25" r="505" customHeight="1" ht="14.25">
      <c r="A505" s="30"/>
      <c r="B505" s="30"/>
      <c r="C505" s="7"/>
      <c r="D505" s="30"/>
      <c r="E505" s="7"/>
      <c r="F505" s="7"/>
      <c r="G505" s="7"/>
      <c r="H505" s="7"/>
      <c r="I505" s="8"/>
    </row>
    <row x14ac:dyDescent="0.25" r="506" customHeight="1" ht="14.25">
      <c r="A506" s="30"/>
      <c r="B506" s="30"/>
      <c r="C506" s="7"/>
      <c r="D506" s="30"/>
      <c r="E506" s="7"/>
      <c r="F506" s="7"/>
      <c r="G506" s="7"/>
      <c r="H506" s="7"/>
      <c r="I506" s="8"/>
    </row>
    <row x14ac:dyDescent="0.25" r="507" customHeight="1" ht="14.25">
      <c r="A507" s="30"/>
      <c r="B507" s="30"/>
      <c r="C507" s="7"/>
      <c r="D507" s="30"/>
      <c r="E507" s="7"/>
      <c r="F507" s="7"/>
      <c r="G507" s="7"/>
      <c r="H507" s="7"/>
      <c r="I507" s="8"/>
    </row>
    <row x14ac:dyDescent="0.25" r="508" customHeight="1" ht="14.25">
      <c r="A508" s="30"/>
      <c r="B508" s="30"/>
      <c r="C508" s="7"/>
      <c r="D508" s="30"/>
      <c r="E508" s="7"/>
      <c r="F508" s="7"/>
      <c r="G508" s="7"/>
      <c r="H508" s="7"/>
      <c r="I508" s="8"/>
    </row>
    <row x14ac:dyDescent="0.25" r="509" customHeight="1" ht="14.25">
      <c r="A509" s="30"/>
      <c r="B509" s="30"/>
      <c r="C509" s="7"/>
      <c r="D509" s="30"/>
      <c r="E509" s="7"/>
      <c r="F509" s="7"/>
      <c r="G509" s="7"/>
      <c r="H509" s="7"/>
      <c r="I509" s="8"/>
    </row>
    <row x14ac:dyDescent="0.25" r="510" customHeight="1" ht="14.25">
      <c r="A510" s="30"/>
      <c r="B510" s="30"/>
      <c r="C510" s="7"/>
      <c r="D510" s="30"/>
      <c r="E510" s="7"/>
      <c r="F510" s="7"/>
      <c r="G510" s="7"/>
      <c r="H510" s="7"/>
      <c r="I510" s="8"/>
    </row>
    <row x14ac:dyDescent="0.25" r="511" customHeight="1" ht="14.25">
      <c r="A511" s="30"/>
      <c r="B511" s="30"/>
      <c r="C511" s="7"/>
      <c r="D511" s="30"/>
      <c r="E511" s="7"/>
      <c r="F511" s="7"/>
      <c r="G511" s="7"/>
      <c r="H511" s="7"/>
      <c r="I511" s="8"/>
    </row>
    <row x14ac:dyDescent="0.25" r="512" customHeight="1" ht="14.25">
      <c r="A512" s="30"/>
      <c r="B512" s="30"/>
      <c r="C512" s="7"/>
      <c r="D512" s="30"/>
      <c r="E512" s="7"/>
      <c r="F512" s="7"/>
      <c r="G512" s="7"/>
      <c r="H512" s="7"/>
      <c r="I512" s="8"/>
    </row>
    <row x14ac:dyDescent="0.25" r="513" customHeight="1" ht="14.25">
      <c r="A513" s="30"/>
      <c r="B513" s="30"/>
      <c r="C513" s="7"/>
      <c r="D513" s="30"/>
      <c r="E513" s="7"/>
      <c r="F513" s="7"/>
      <c r="G513" s="7"/>
      <c r="H513" s="7"/>
      <c r="I513" s="8"/>
    </row>
    <row x14ac:dyDescent="0.25" r="514" customHeight="1" ht="14.25">
      <c r="A514" s="30"/>
      <c r="B514" s="30"/>
      <c r="C514" s="7"/>
      <c r="D514" s="30"/>
      <c r="E514" s="7"/>
      <c r="F514" s="7"/>
      <c r="G514" s="7"/>
      <c r="H514" s="7"/>
      <c r="I514" s="8"/>
    </row>
    <row x14ac:dyDescent="0.25" r="515" customHeight="1" ht="14.25">
      <c r="A515" s="30"/>
      <c r="B515" s="30"/>
      <c r="C515" s="7"/>
      <c r="D515" s="30"/>
      <c r="E515" s="7"/>
      <c r="F515" s="7"/>
      <c r="G515" s="7"/>
      <c r="H515" s="7"/>
      <c r="I515" s="8"/>
    </row>
    <row x14ac:dyDescent="0.25" r="516" customHeight="1" ht="14.25">
      <c r="A516" s="30"/>
      <c r="B516" s="30"/>
      <c r="C516" s="7"/>
      <c r="D516" s="30"/>
      <c r="E516" s="7"/>
      <c r="F516" s="7"/>
      <c r="G516" s="7"/>
      <c r="H516" s="7"/>
      <c r="I516" s="8"/>
    </row>
    <row x14ac:dyDescent="0.25" r="517" customHeight="1" ht="14.25">
      <c r="A517" s="30"/>
      <c r="B517" s="30"/>
      <c r="C517" s="7"/>
      <c r="D517" s="30"/>
      <c r="E517" s="7"/>
      <c r="F517" s="7"/>
      <c r="G517" s="7"/>
      <c r="H517" s="7"/>
      <c r="I517" s="8"/>
    </row>
    <row x14ac:dyDescent="0.25" r="518" customHeight="1" ht="14.25">
      <c r="A518" s="30"/>
      <c r="B518" s="30"/>
      <c r="C518" s="7"/>
      <c r="D518" s="30"/>
      <c r="E518" s="7"/>
      <c r="F518" s="7"/>
      <c r="G518" s="7"/>
      <c r="H518" s="7"/>
      <c r="I518" s="8"/>
    </row>
    <row x14ac:dyDescent="0.25" r="519" customHeight="1" ht="14.25">
      <c r="A519" s="30"/>
      <c r="B519" s="30"/>
      <c r="C519" s="7"/>
      <c r="D519" s="30"/>
      <c r="E519" s="7"/>
      <c r="F519" s="7"/>
      <c r="G519" s="7"/>
      <c r="H519" s="7"/>
      <c r="I519" s="8"/>
    </row>
    <row x14ac:dyDescent="0.25" r="520" customHeight="1" ht="14.25">
      <c r="A520" s="30"/>
      <c r="B520" s="30"/>
      <c r="C520" s="7"/>
      <c r="D520" s="30"/>
      <c r="E520" s="7"/>
      <c r="F520" s="7"/>
      <c r="G520" s="7"/>
      <c r="H520" s="7"/>
      <c r="I520" s="8"/>
    </row>
    <row x14ac:dyDescent="0.25" r="521" customHeight="1" ht="14.25">
      <c r="A521" s="30"/>
      <c r="B521" s="30"/>
      <c r="C521" s="7"/>
      <c r="D521" s="30"/>
      <c r="E521" s="7"/>
      <c r="F521" s="7"/>
      <c r="G521" s="7"/>
      <c r="H521" s="7"/>
      <c r="I521" s="8"/>
    </row>
    <row x14ac:dyDescent="0.25" r="522" customHeight="1" ht="14.25">
      <c r="A522" s="30"/>
      <c r="B522" s="30"/>
      <c r="C522" s="7"/>
      <c r="D522" s="30"/>
      <c r="E522" s="7"/>
      <c r="F522" s="7"/>
      <c r="G522" s="7"/>
      <c r="H522" s="7"/>
      <c r="I522" s="8"/>
    </row>
    <row x14ac:dyDescent="0.25" r="523" customHeight="1" ht="14.25">
      <c r="A523" s="30"/>
      <c r="B523" s="30"/>
      <c r="C523" s="7"/>
      <c r="D523" s="30"/>
      <c r="E523" s="7"/>
      <c r="F523" s="7"/>
      <c r="G523" s="7"/>
      <c r="H523" s="7"/>
      <c r="I523" s="8"/>
    </row>
    <row x14ac:dyDescent="0.25" r="524" customHeight="1" ht="14.25">
      <c r="A524" s="30"/>
      <c r="B524" s="30"/>
      <c r="C524" s="7"/>
      <c r="D524" s="30"/>
      <c r="E524" s="7"/>
      <c r="F524" s="7"/>
      <c r="G524" s="7"/>
      <c r="H524" s="7"/>
      <c r="I524" s="8"/>
    </row>
    <row x14ac:dyDescent="0.25" r="525" customHeight="1" ht="14.25">
      <c r="A525" s="30"/>
      <c r="B525" s="30"/>
      <c r="C525" s="7"/>
      <c r="D525" s="30"/>
      <c r="E525" s="7"/>
      <c r="F525" s="7"/>
      <c r="G525" s="7"/>
      <c r="H525" s="7"/>
      <c r="I525" s="8"/>
    </row>
    <row x14ac:dyDescent="0.25" r="526" customHeight="1" ht="14.25">
      <c r="A526" s="30"/>
      <c r="B526" s="30"/>
      <c r="C526" s="7"/>
      <c r="D526" s="30"/>
      <c r="E526" s="7"/>
      <c r="F526" s="7"/>
      <c r="G526" s="7"/>
      <c r="H526" s="7"/>
      <c r="I526" s="8"/>
    </row>
    <row x14ac:dyDescent="0.25" r="527" customHeight="1" ht="14.25">
      <c r="A527" s="30"/>
      <c r="B527" s="30"/>
      <c r="C527" s="7"/>
      <c r="D527" s="30"/>
      <c r="E527" s="7"/>
      <c r="F527" s="7"/>
      <c r="G527" s="7"/>
      <c r="H527" s="7"/>
      <c r="I527" s="8"/>
    </row>
    <row x14ac:dyDescent="0.25" r="528" customHeight="1" ht="14.25">
      <c r="A528" s="30"/>
      <c r="B528" s="30"/>
      <c r="C528" s="7"/>
      <c r="D528" s="30"/>
      <c r="E528" s="7"/>
      <c r="F528" s="7"/>
      <c r="G528" s="7"/>
      <c r="H528" s="7"/>
      <c r="I528" s="8"/>
    </row>
    <row x14ac:dyDescent="0.25" r="529" customHeight="1" ht="14.25">
      <c r="A529" s="30"/>
      <c r="B529" s="30"/>
      <c r="C529" s="7"/>
      <c r="D529" s="30"/>
      <c r="E529" s="7"/>
      <c r="F529" s="7"/>
      <c r="G529" s="7"/>
      <c r="H529" s="7"/>
      <c r="I529" s="8"/>
    </row>
    <row x14ac:dyDescent="0.25" r="530" customHeight="1" ht="14.25">
      <c r="A530" s="30"/>
      <c r="B530" s="30"/>
      <c r="C530" s="7"/>
      <c r="D530" s="30"/>
      <c r="E530" s="7"/>
      <c r="F530" s="7"/>
      <c r="G530" s="7"/>
      <c r="H530" s="7"/>
      <c r="I530" s="8"/>
    </row>
    <row x14ac:dyDescent="0.25" r="531" customHeight="1" ht="14.25">
      <c r="A531" s="30"/>
      <c r="B531" s="30"/>
      <c r="C531" s="7"/>
      <c r="D531" s="30"/>
      <c r="E531" s="7"/>
      <c r="F531" s="7"/>
      <c r="G531" s="7"/>
      <c r="H531" s="7"/>
      <c r="I531" s="8"/>
    </row>
    <row x14ac:dyDescent="0.25" r="532" customHeight="1" ht="14.25">
      <c r="A532" s="30"/>
      <c r="B532" s="30"/>
      <c r="C532" s="7"/>
      <c r="D532" s="30"/>
      <c r="E532" s="7"/>
      <c r="F532" s="7"/>
      <c r="G532" s="7"/>
      <c r="H532" s="7"/>
      <c r="I532" s="8"/>
    </row>
    <row x14ac:dyDescent="0.25" r="533" customHeight="1" ht="14.25">
      <c r="A533" s="30"/>
      <c r="B533" s="30"/>
      <c r="C533" s="7"/>
      <c r="D533" s="30"/>
      <c r="E533" s="7"/>
      <c r="F533" s="7"/>
      <c r="G533" s="7"/>
      <c r="H533" s="7"/>
      <c r="I533" s="8"/>
    </row>
    <row x14ac:dyDescent="0.25" r="534" customHeight="1" ht="14.25">
      <c r="A534" s="30"/>
      <c r="B534" s="30"/>
      <c r="C534" s="7"/>
      <c r="D534" s="30"/>
      <c r="E534" s="7"/>
      <c r="F534" s="7"/>
      <c r="G534" s="7"/>
      <c r="H534" s="7"/>
      <c r="I534" s="8"/>
    </row>
    <row x14ac:dyDescent="0.25" r="535" customHeight="1" ht="14.25">
      <c r="A535" s="30"/>
      <c r="B535" s="30"/>
      <c r="C535" s="7"/>
      <c r="D535" s="30"/>
      <c r="E535" s="7"/>
      <c r="F535" s="7"/>
      <c r="G535" s="7"/>
      <c r="H535" s="7"/>
      <c r="I535" s="8"/>
    </row>
    <row x14ac:dyDescent="0.25" r="536" customHeight="1" ht="14.25">
      <c r="A536" s="30"/>
      <c r="B536" s="30"/>
      <c r="C536" s="7"/>
      <c r="D536" s="30"/>
      <c r="E536" s="7"/>
      <c r="F536" s="7"/>
      <c r="G536" s="7"/>
      <c r="H536" s="7"/>
      <c r="I536" s="8"/>
    </row>
    <row x14ac:dyDescent="0.25" r="537" customHeight="1" ht="14.25">
      <c r="A537" s="30"/>
      <c r="B537" s="30"/>
      <c r="C537" s="7"/>
      <c r="D537" s="30"/>
      <c r="E537" s="7"/>
      <c r="F537" s="7"/>
      <c r="G537" s="7"/>
      <c r="H537" s="7"/>
      <c r="I537" s="8"/>
    </row>
    <row x14ac:dyDescent="0.25" r="538" customHeight="1" ht="14.25">
      <c r="A538" s="30"/>
      <c r="B538" s="30"/>
      <c r="C538" s="7"/>
      <c r="D538" s="30"/>
      <c r="E538" s="7"/>
      <c r="F538" s="7"/>
      <c r="G538" s="7"/>
      <c r="H538" s="7"/>
      <c r="I538" s="8"/>
    </row>
    <row x14ac:dyDescent="0.25" r="539" customHeight="1" ht="14.25">
      <c r="A539" s="30"/>
      <c r="B539" s="30"/>
      <c r="C539" s="7"/>
      <c r="D539" s="30"/>
      <c r="E539" s="7"/>
      <c r="F539" s="7"/>
      <c r="G539" s="7"/>
      <c r="H539" s="7"/>
      <c r="I539" s="8"/>
    </row>
    <row x14ac:dyDescent="0.25" r="540" customHeight="1" ht="14.25">
      <c r="A540" s="30"/>
      <c r="B540" s="30"/>
      <c r="C540" s="7"/>
      <c r="D540" s="30"/>
      <c r="E540" s="7"/>
      <c r="F540" s="7"/>
      <c r="G540" s="7"/>
      <c r="H540" s="7"/>
      <c r="I540" s="8"/>
    </row>
    <row x14ac:dyDescent="0.25" r="541" customHeight="1" ht="14.25">
      <c r="A541" s="30"/>
      <c r="B541" s="30"/>
      <c r="C541" s="7"/>
      <c r="D541" s="30"/>
      <c r="E541" s="7"/>
      <c r="F541" s="7"/>
      <c r="G541" s="7"/>
      <c r="H541" s="7"/>
      <c r="I541" s="8"/>
    </row>
    <row x14ac:dyDescent="0.25" r="542" customHeight="1" ht="14.25">
      <c r="A542" s="30"/>
      <c r="B542" s="30"/>
      <c r="C542" s="7"/>
      <c r="D542" s="30"/>
      <c r="E542" s="7"/>
      <c r="F542" s="7"/>
      <c r="G542" s="7"/>
      <c r="H542" s="7"/>
      <c r="I542" s="8"/>
    </row>
    <row x14ac:dyDescent="0.25" r="543" customHeight="1" ht="14.25">
      <c r="A543" s="30"/>
      <c r="B543" s="30"/>
      <c r="C543" s="7"/>
      <c r="D543" s="30"/>
      <c r="E543" s="7"/>
      <c r="F543" s="7"/>
      <c r="G543" s="7"/>
      <c r="H543" s="7"/>
      <c r="I543" s="8"/>
    </row>
    <row x14ac:dyDescent="0.25" r="544" customHeight="1" ht="14.25">
      <c r="A544" s="30"/>
      <c r="B544" s="30"/>
      <c r="C544" s="7"/>
      <c r="D544" s="30"/>
      <c r="E544" s="7"/>
      <c r="F544" s="7"/>
      <c r="G544" s="7"/>
      <c r="H544" s="7"/>
      <c r="I544" s="8"/>
    </row>
    <row x14ac:dyDescent="0.25" r="545" customHeight="1" ht="14.25">
      <c r="A545" s="30"/>
      <c r="B545" s="30"/>
      <c r="C545" s="7"/>
      <c r="D545" s="30"/>
      <c r="E545" s="7"/>
      <c r="F545" s="7"/>
      <c r="G545" s="7"/>
      <c r="H545" s="7"/>
      <c r="I545" s="8"/>
    </row>
    <row x14ac:dyDescent="0.25" r="546" customHeight="1" ht="14.25">
      <c r="A546" s="30"/>
      <c r="B546" s="30"/>
      <c r="C546" s="7"/>
      <c r="D546" s="30"/>
      <c r="E546" s="7"/>
      <c r="F546" s="7"/>
      <c r="G546" s="7"/>
      <c r="H546" s="7"/>
      <c r="I546" s="8"/>
    </row>
    <row x14ac:dyDescent="0.25" r="547" customHeight="1" ht="14.25">
      <c r="A547" s="30"/>
      <c r="B547" s="30"/>
      <c r="C547" s="7"/>
      <c r="D547" s="30"/>
      <c r="E547" s="7"/>
      <c r="F547" s="7"/>
      <c r="G547" s="7"/>
      <c r="H547" s="7"/>
      <c r="I547" s="8"/>
    </row>
    <row x14ac:dyDescent="0.25" r="548" customHeight="1" ht="14.25">
      <c r="A548" s="30"/>
      <c r="B548" s="30"/>
      <c r="C548" s="7"/>
      <c r="D548" s="30"/>
      <c r="E548" s="7"/>
      <c r="F548" s="7"/>
      <c r="G548" s="7"/>
      <c r="H548" s="7"/>
      <c r="I548" s="8"/>
    </row>
    <row x14ac:dyDescent="0.25" r="549" customHeight="1" ht="14.25">
      <c r="A549" s="30"/>
      <c r="B549" s="30"/>
      <c r="C549" s="7"/>
      <c r="D549" s="30"/>
      <c r="E549" s="7"/>
      <c r="F549" s="7"/>
      <c r="G549" s="7"/>
      <c r="H549" s="7"/>
      <c r="I549" s="8"/>
    </row>
    <row x14ac:dyDescent="0.25" r="550" customHeight="1" ht="14.25">
      <c r="A550" s="30"/>
      <c r="B550" s="30"/>
      <c r="C550" s="7"/>
      <c r="D550" s="30"/>
      <c r="E550" s="7"/>
      <c r="F550" s="7"/>
      <c r="G550" s="7"/>
      <c r="H550" s="7"/>
      <c r="I550" s="8"/>
    </row>
    <row x14ac:dyDescent="0.25" r="551" customHeight="1" ht="14.25">
      <c r="A551" s="30"/>
      <c r="B551" s="30"/>
      <c r="C551" s="7"/>
      <c r="D551" s="30"/>
      <c r="E551" s="7"/>
      <c r="F551" s="7"/>
      <c r="G551" s="7"/>
      <c r="H551" s="7"/>
      <c r="I551" s="8"/>
    </row>
    <row x14ac:dyDescent="0.25" r="552" customHeight="1" ht="14.25">
      <c r="A552" s="30"/>
      <c r="B552" s="30"/>
      <c r="C552" s="7"/>
      <c r="D552" s="30"/>
      <c r="E552" s="7"/>
      <c r="F552" s="7"/>
      <c r="G552" s="7"/>
      <c r="H552" s="7"/>
      <c r="I552" s="8"/>
    </row>
    <row x14ac:dyDescent="0.25" r="553" customHeight="1" ht="14.25">
      <c r="A553" s="30"/>
      <c r="B553" s="30"/>
      <c r="C553" s="7"/>
      <c r="D553" s="30"/>
      <c r="E553" s="7"/>
      <c r="F553" s="7"/>
      <c r="G553" s="7"/>
      <c r="H553" s="7"/>
      <c r="I553" s="8"/>
    </row>
    <row x14ac:dyDescent="0.25" r="554" customHeight="1" ht="14.25">
      <c r="A554" s="30"/>
      <c r="B554" s="30"/>
      <c r="C554" s="7"/>
      <c r="D554" s="30"/>
      <c r="E554" s="7"/>
      <c r="F554" s="7"/>
      <c r="G554" s="7"/>
      <c r="H554" s="7"/>
      <c r="I554" s="8"/>
    </row>
    <row x14ac:dyDescent="0.25" r="555" customHeight="1" ht="14.25">
      <c r="A555" s="30"/>
      <c r="B555" s="30"/>
      <c r="C555" s="7"/>
      <c r="D555" s="30"/>
      <c r="E555" s="7"/>
      <c r="F555" s="7"/>
      <c r="G555" s="7"/>
      <c r="H555" s="7"/>
      <c r="I555" s="8"/>
    </row>
    <row x14ac:dyDescent="0.25" r="556" customHeight="1" ht="14.25">
      <c r="A556" s="30"/>
      <c r="B556" s="30"/>
      <c r="C556" s="7"/>
      <c r="D556" s="30"/>
      <c r="E556" s="7"/>
      <c r="F556" s="7"/>
      <c r="G556" s="7"/>
      <c r="H556" s="7"/>
      <c r="I556" s="8"/>
    </row>
    <row x14ac:dyDescent="0.25" r="557" customHeight="1" ht="14.25">
      <c r="A557" s="30"/>
      <c r="B557" s="30"/>
      <c r="C557" s="7"/>
      <c r="D557" s="30"/>
      <c r="E557" s="7"/>
      <c r="F557" s="7"/>
      <c r="G557" s="7"/>
      <c r="H557" s="7"/>
      <c r="I557" s="8"/>
    </row>
    <row x14ac:dyDescent="0.25" r="558" customHeight="1" ht="14.25">
      <c r="A558" s="30"/>
      <c r="B558" s="30"/>
      <c r="C558" s="7"/>
      <c r="D558" s="30"/>
      <c r="E558" s="7"/>
      <c r="F558" s="7"/>
      <c r="G558" s="7"/>
      <c r="H558" s="7"/>
      <c r="I558" s="8"/>
    </row>
    <row x14ac:dyDescent="0.25" r="559" customHeight="1" ht="14.25">
      <c r="A559" s="30"/>
      <c r="B559" s="30"/>
      <c r="C559" s="7"/>
      <c r="D559" s="30"/>
      <c r="E559" s="7"/>
      <c r="F559" s="7"/>
      <c r="G559" s="7"/>
      <c r="H559" s="7"/>
      <c r="I559" s="8"/>
    </row>
    <row x14ac:dyDescent="0.25" r="560" customHeight="1" ht="14.25">
      <c r="A560" s="30"/>
      <c r="B560" s="30"/>
      <c r="C560" s="7"/>
      <c r="D560" s="30"/>
      <c r="E560" s="7"/>
      <c r="F560" s="7"/>
      <c r="G560" s="7"/>
      <c r="H560" s="7"/>
      <c r="I560" s="8"/>
    </row>
    <row x14ac:dyDescent="0.25" r="561" customHeight="1" ht="14.25">
      <c r="A561" s="30"/>
      <c r="B561" s="30"/>
      <c r="C561" s="7"/>
      <c r="D561" s="30"/>
      <c r="E561" s="7"/>
      <c r="F561" s="7"/>
      <c r="G561" s="7"/>
      <c r="H561" s="7"/>
      <c r="I561" s="8"/>
    </row>
    <row x14ac:dyDescent="0.25" r="562" customHeight="1" ht="14.25">
      <c r="A562" s="30"/>
      <c r="B562" s="30"/>
      <c r="C562" s="7"/>
      <c r="D562" s="30"/>
      <c r="E562" s="7"/>
      <c r="F562" s="7"/>
      <c r="G562" s="7"/>
      <c r="H562" s="7"/>
      <c r="I562" s="8"/>
    </row>
    <row x14ac:dyDescent="0.25" r="563" customHeight="1" ht="14.25">
      <c r="A563" s="30"/>
      <c r="B563" s="30"/>
      <c r="C563" s="7"/>
      <c r="D563" s="30"/>
      <c r="E563" s="7"/>
      <c r="F563" s="7"/>
      <c r="G563" s="7"/>
      <c r="H563" s="7"/>
      <c r="I563" s="8"/>
    </row>
    <row x14ac:dyDescent="0.25" r="564" customHeight="1" ht="14.25">
      <c r="A564" s="30"/>
      <c r="B564" s="30"/>
      <c r="C564" s="7"/>
      <c r="D564" s="30"/>
      <c r="E564" s="7"/>
      <c r="F564" s="7"/>
      <c r="G564" s="7"/>
      <c r="H564" s="7"/>
      <c r="I564" s="8"/>
    </row>
    <row x14ac:dyDescent="0.25" r="565" customHeight="1" ht="14.25">
      <c r="A565" s="30"/>
      <c r="B565" s="30"/>
      <c r="C565" s="7"/>
      <c r="D565" s="30"/>
      <c r="E565" s="7"/>
      <c r="F565" s="7"/>
      <c r="G565" s="7"/>
      <c r="H565" s="7"/>
      <c r="I565" s="8"/>
    </row>
    <row x14ac:dyDescent="0.25" r="566" customHeight="1" ht="14.25">
      <c r="A566" s="30"/>
      <c r="B566" s="30"/>
      <c r="C566" s="7"/>
      <c r="D566" s="30"/>
      <c r="E566" s="7"/>
      <c r="F566" s="7"/>
      <c r="G566" s="7"/>
      <c r="H566" s="7"/>
      <c r="I566" s="8"/>
    </row>
    <row x14ac:dyDescent="0.25" r="567" customHeight="1" ht="14.25">
      <c r="A567" s="30"/>
      <c r="B567" s="30"/>
      <c r="C567" s="7"/>
      <c r="D567" s="30"/>
      <c r="E567" s="7"/>
      <c r="F567" s="7"/>
      <c r="G567" s="7"/>
      <c r="H567" s="7"/>
      <c r="I567" s="8"/>
    </row>
    <row x14ac:dyDescent="0.25" r="568" customHeight="1" ht="14.25">
      <c r="A568" s="30"/>
      <c r="B568" s="30"/>
      <c r="C568" s="7"/>
      <c r="D568" s="30"/>
      <c r="E568" s="7"/>
      <c r="F568" s="7"/>
      <c r="G568" s="7"/>
      <c r="H568" s="7"/>
      <c r="I568" s="8"/>
    </row>
    <row x14ac:dyDescent="0.25" r="569" customHeight="1" ht="14.25">
      <c r="A569" s="30"/>
      <c r="B569" s="30"/>
      <c r="C569" s="7"/>
      <c r="D569" s="30"/>
      <c r="E569" s="7"/>
      <c r="F569" s="7"/>
      <c r="G569" s="7"/>
      <c r="H569" s="7"/>
      <c r="I569" s="8"/>
    </row>
    <row x14ac:dyDescent="0.25" r="570" customHeight="1" ht="14.25">
      <c r="A570" s="30"/>
      <c r="B570" s="30"/>
      <c r="C570" s="7"/>
      <c r="D570" s="30"/>
      <c r="E570" s="7"/>
      <c r="F570" s="7"/>
      <c r="G570" s="7"/>
      <c r="H570" s="7"/>
      <c r="I570" s="8"/>
    </row>
    <row x14ac:dyDescent="0.25" r="571" customHeight="1" ht="14.25">
      <c r="A571" s="30"/>
      <c r="B571" s="30"/>
      <c r="C571" s="7"/>
      <c r="D571" s="30"/>
      <c r="E571" s="7"/>
      <c r="F571" s="7"/>
      <c r="G571" s="7"/>
      <c r="H571" s="7"/>
      <c r="I571" s="8"/>
    </row>
    <row x14ac:dyDescent="0.25" r="572" customHeight="1" ht="14.25">
      <c r="A572" s="30"/>
      <c r="B572" s="30"/>
      <c r="C572" s="7"/>
      <c r="D572" s="30"/>
      <c r="E572" s="7"/>
      <c r="F572" s="7"/>
      <c r="G572" s="7"/>
      <c r="H572" s="7"/>
      <c r="I572" s="8"/>
    </row>
    <row x14ac:dyDescent="0.25" r="573" customHeight="1" ht="14.25">
      <c r="A573" s="30"/>
      <c r="B573" s="30"/>
      <c r="C573" s="7"/>
      <c r="D573" s="30"/>
      <c r="E573" s="7"/>
      <c r="F573" s="7"/>
      <c r="G573" s="7"/>
      <c r="H573" s="7"/>
      <c r="I573" s="8"/>
    </row>
    <row x14ac:dyDescent="0.25" r="574" customHeight="1" ht="14.25">
      <c r="A574" s="30"/>
      <c r="B574" s="30"/>
      <c r="C574" s="7"/>
      <c r="D574" s="30"/>
      <c r="E574" s="7"/>
      <c r="F574" s="7"/>
      <c r="G574" s="7"/>
      <c r="H574" s="7"/>
      <c r="I574" s="8"/>
    </row>
    <row x14ac:dyDescent="0.25" r="575" customHeight="1" ht="14.25">
      <c r="A575" s="30"/>
      <c r="B575" s="30"/>
      <c r="C575" s="7"/>
      <c r="D575" s="30"/>
      <c r="E575" s="7"/>
      <c r="F575" s="7"/>
      <c r="G575" s="7"/>
      <c r="H575" s="7"/>
      <c r="I575" s="8"/>
    </row>
    <row x14ac:dyDescent="0.25" r="576" customHeight="1" ht="14.25">
      <c r="A576" s="30"/>
      <c r="B576" s="30"/>
      <c r="C576" s="7"/>
      <c r="D576" s="30"/>
      <c r="E576" s="7"/>
      <c r="F576" s="7"/>
      <c r="G576" s="7"/>
      <c r="H576" s="7"/>
      <c r="I576" s="8"/>
    </row>
    <row x14ac:dyDescent="0.25" r="577" customHeight="1" ht="14.25">
      <c r="A577" s="30"/>
      <c r="B577" s="30"/>
      <c r="C577" s="7"/>
      <c r="D577" s="30"/>
      <c r="E577" s="7"/>
      <c r="F577" s="7"/>
      <c r="G577" s="7"/>
      <c r="H577" s="7"/>
      <c r="I577" s="8"/>
    </row>
    <row x14ac:dyDescent="0.25" r="578" customHeight="1" ht="14.25">
      <c r="A578" s="30"/>
      <c r="B578" s="30"/>
      <c r="C578" s="7"/>
      <c r="D578" s="30"/>
      <c r="E578" s="7"/>
      <c r="F578" s="7"/>
      <c r="G578" s="7"/>
      <c r="H578" s="7"/>
      <c r="I578" s="8"/>
    </row>
    <row x14ac:dyDescent="0.25" r="579" customHeight="1" ht="14.25">
      <c r="A579" s="30"/>
      <c r="B579" s="30"/>
      <c r="C579" s="7"/>
      <c r="D579" s="30"/>
      <c r="E579" s="7"/>
      <c r="F579" s="7"/>
      <c r="G579" s="7"/>
      <c r="H579" s="7"/>
      <c r="I579" s="8"/>
    </row>
    <row x14ac:dyDescent="0.25" r="580" customHeight="1" ht="14.25">
      <c r="A580" s="30"/>
      <c r="B580" s="30"/>
      <c r="C580" s="7"/>
      <c r="D580" s="30"/>
      <c r="E580" s="7"/>
      <c r="F580" s="7"/>
      <c r="G580" s="7"/>
      <c r="H580" s="7"/>
      <c r="I580" s="8"/>
    </row>
    <row x14ac:dyDescent="0.25" r="581" customHeight="1" ht="14.25">
      <c r="A581" s="30"/>
      <c r="B581" s="30"/>
      <c r="C581" s="7"/>
      <c r="D581" s="30"/>
      <c r="E581" s="7"/>
      <c r="F581" s="7"/>
      <c r="G581" s="7"/>
      <c r="H581" s="7"/>
      <c r="I581" s="8"/>
    </row>
    <row x14ac:dyDescent="0.25" r="582" customHeight="1" ht="14.25">
      <c r="A582" s="30"/>
      <c r="B582" s="30"/>
      <c r="C582" s="7"/>
      <c r="D582" s="30"/>
      <c r="E582" s="7"/>
      <c r="F582" s="7"/>
      <c r="G582" s="7"/>
      <c r="H582" s="7"/>
      <c r="I582" s="8"/>
    </row>
    <row x14ac:dyDescent="0.25" r="583" customHeight="1" ht="14.25">
      <c r="A583" s="30"/>
      <c r="B583" s="30"/>
      <c r="C583" s="7"/>
      <c r="D583" s="30"/>
      <c r="E583" s="7"/>
      <c r="F583" s="7"/>
      <c r="G583" s="7"/>
      <c r="H583" s="7"/>
      <c r="I583" s="8"/>
    </row>
    <row x14ac:dyDescent="0.25" r="584" customHeight="1" ht="14.25">
      <c r="A584" s="30"/>
      <c r="B584" s="30"/>
      <c r="C584" s="7"/>
      <c r="D584" s="30"/>
      <c r="E584" s="7"/>
      <c r="F584" s="7"/>
      <c r="G584" s="7"/>
      <c r="H584" s="7"/>
      <c r="I584" s="8"/>
    </row>
    <row x14ac:dyDescent="0.25" r="585" customHeight="1" ht="14.25">
      <c r="A585" s="30"/>
      <c r="B585" s="30"/>
      <c r="C585" s="7"/>
      <c r="D585" s="30"/>
      <c r="E585" s="7"/>
      <c r="F585" s="7"/>
      <c r="G585" s="7"/>
      <c r="H585" s="7"/>
      <c r="I585" s="8"/>
    </row>
    <row x14ac:dyDescent="0.25" r="586" customHeight="1" ht="14.25">
      <c r="A586" s="30"/>
      <c r="B586" s="30"/>
      <c r="C586" s="7"/>
      <c r="D586" s="30"/>
      <c r="E586" s="7"/>
      <c r="F586" s="7"/>
      <c r="G586" s="7"/>
      <c r="H586" s="7"/>
      <c r="I586" s="8"/>
    </row>
    <row x14ac:dyDescent="0.25" r="587" customHeight="1" ht="14.25">
      <c r="A587" s="30"/>
      <c r="B587" s="30"/>
      <c r="C587" s="7"/>
      <c r="D587" s="30"/>
      <c r="E587" s="7"/>
      <c r="F587" s="7"/>
      <c r="G587" s="7"/>
      <c r="H587" s="7"/>
      <c r="I587" s="8"/>
    </row>
    <row x14ac:dyDescent="0.25" r="588" customHeight="1" ht="14.25">
      <c r="A588" s="30"/>
      <c r="B588" s="30"/>
      <c r="C588" s="7"/>
      <c r="D588" s="30"/>
      <c r="E588" s="7"/>
      <c r="F588" s="7"/>
      <c r="G588" s="7"/>
      <c r="H588" s="7"/>
      <c r="I588" s="8"/>
    </row>
    <row x14ac:dyDescent="0.25" r="589" customHeight="1" ht="14.25">
      <c r="A589" s="30"/>
      <c r="B589" s="30"/>
      <c r="C589" s="7"/>
      <c r="D589" s="30"/>
      <c r="E589" s="7"/>
      <c r="F589" s="7"/>
      <c r="G589" s="7"/>
      <c r="H589" s="7"/>
      <c r="I589" s="8"/>
    </row>
    <row x14ac:dyDescent="0.25" r="590" customHeight="1" ht="14.25">
      <c r="A590" s="30"/>
      <c r="B590" s="30"/>
      <c r="C590" s="7"/>
      <c r="D590" s="30"/>
      <c r="E590" s="7"/>
      <c r="F590" s="7"/>
      <c r="G590" s="7"/>
      <c r="H590" s="7"/>
      <c r="I590" s="8"/>
    </row>
    <row x14ac:dyDescent="0.25" r="591" customHeight="1" ht="14.25">
      <c r="A591" s="30"/>
      <c r="B591" s="30"/>
      <c r="C591" s="7"/>
      <c r="D591" s="30"/>
      <c r="E591" s="7"/>
      <c r="F591" s="7"/>
      <c r="G591" s="7"/>
      <c r="H591" s="7"/>
      <c r="I591" s="8"/>
    </row>
    <row x14ac:dyDescent="0.25" r="592" customHeight="1" ht="14.25">
      <c r="A592" s="30"/>
      <c r="B592" s="30"/>
      <c r="C592" s="7"/>
      <c r="D592" s="30"/>
      <c r="E592" s="7"/>
      <c r="F592" s="7"/>
      <c r="G592" s="7"/>
      <c r="H592" s="7"/>
      <c r="I592" s="8"/>
    </row>
    <row x14ac:dyDescent="0.25" r="593" customHeight="1" ht="14.25">
      <c r="A593" s="30"/>
      <c r="B593" s="30"/>
      <c r="C593" s="7"/>
      <c r="D593" s="30"/>
      <c r="E593" s="7"/>
      <c r="F593" s="7"/>
      <c r="G593" s="7"/>
      <c r="H593" s="7"/>
      <c r="I593" s="8"/>
    </row>
    <row x14ac:dyDescent="0.25" r="594" customHeight="1" ht="14.25">
      <c r="A594" s="30"/>
      <c r="B594" s="30"/>
      <c r="C594" s="7"/>
      <c r="D594" s="30"/>
      <c r="E594" s="7"/>
      <c r="F594" s="7"/>
      <c r="G594" s="7"/>
      <c r="H594" s="7"/>
      <c r="I594" s="8"/>
    </row>
    <row x14ac:dyDescent="0.25" r="595" customHeight="1" ht="14.25">
      <c r="A595" s="30"/>
      <c r="B595" s="30"/>
      <c r="C595" s="7"/>
      <c r="D595" s="30"/>
      <c r="E595" s="7"/>
      <c r="F595" s="7"/>
      <c r="G595" s="7"/>
      <c r="H595" s="7"/>
      <c r="I595" s="8"/>
    </row>
    <row x14ac:dyDescent="0.25" r="596" customHeight="1" ht="14.25">
      <c r="A596" s="30"/>
      <c r="B596" s="30"/>
      <c r="C596" s="7"/>
      <c r="D596" s="30"/>
      <c r="E596" s="7"/>
      <c r="F596" s="7"/>
      <c r="G596" s="7"/>
      <c r="H596" s="7"/>
      <c r="I596" s="8"/>
    </row>
    <row x14ac:dyDescent="0.25" r="597" customHeight="1" ht="14.25">
      <c r="A597" s="30"/>
      <c r="B597" s="30"/>
      <c r="C597" s="7"/>
      <c r="D597" s="30"/>
      <c r="E597" s="7"/>
      <c r="F597" s="7"/>
      <c r="G597" s="7"/>
      <c r="H597" s="7"/>
      <c r="I597" s="8"/>
    </row>
    <row x14ac:dyDescent="0.25" r="598" customHeight="1" ht="14.25">
      <c r="A598" s="30"/>
      <c r="B598" s="30"/>
      <c r="C598" s="7"/>
      <c r="D598" s="30"/>
      <c r="E598" s="7"/>
      <c r="F598" s="7"/>
      <c r="G598" s="7"/>
      <c r="H598" s="7"/>
      <c r="I598" s="8"/>
    </row>
    <row x14ac:dyDescent="0.25" r="599" customHeight="1" ht="14.25">
      <c r="A599" s="30"/>
      <c r="B599" s="30"/>
      <c r="C599" s="7"/>
      <c r="D599" s="30"/>
      <c r="E599" s="7"/>
      <c r="F599" s="7"/>
      <c r="G599" s="7"/>
      <c r="H599" s="7"/>
      <c r="I599" s="8"/>
    </row>
    <row x14ac:dyDescent="0.25" r="600" customHeight="1" ht="14.25">
      <c r="A600" s="30"/>
      <c r="B600" s="30"/>
      <c r="C600" s="7"/>
      <c r="D600" s="30"/>
      <c r="E600" s="7"/>
      <c r="F600" s="7"/>
      <c r="G600" s="7"/>
      <c r="H600" s="7"/>
      <c r="I600" s="8"/>
    </row>
    <row x14ac:dyDescent="0.25" r="601" customHeight="1" ht="14.25">
      <c r="A601" s="30"/>
      <c r="B601" s="30"/>
      <c r="C601" s="7"/>
      <c r="D601" s="30"/>
      <c r="E601" s="7"/>
      <c r="F601" s="7"/>
      <c r="G601" s="7"/>
      <c r="H601" s="7"/>
      <c r="I601" s="8"/>
    </row>
    <row x14ac:dyDescent="0.25" r="602" customHeight="1" ht="14.25">
      <c r="A602" s="30"/>
      <c r="B602" s="30"/>
      <c r="C602" s="7"/>
      <c r="D602" s="30"/>
      <c r="E602" s="7"/>
      <c r="F602" s="7"/>
      <c r="G602" s="7"/>
      <c r="H602" s="7"/>
      <c r="I602" s="8"/>
    </row>
    <row x14ac:dyDescent="0.25" r="603" customHeight="1" ht="14.25">
      <c r="A603" s="30"/>
      <c r="B603" s="30"/>
      <c r="C603" s="7"/>
      <c r="D603" s="30"/>
      <c r="E603" s="7"/>
      <c r="F603" s="7"/>
      <c r="G603" s="7"/>
      <c r="H603" s="7"/>
      <c r="I603" s="8"/>
    </row>
    <row x14ac:dyDescent="0.25" r="604" customHeight="1" ht="14.25">
      <c r="A604" s="30"/>
      <c r="B604" s="30"/>
      <c r="C604" s="7"/>
      <c r="D604" s="30"/>
      <c r="E604" s="7"/>
      <c r="F604" s="7"/>
      <c r="G604" s="7"/>
      <c r="H604" s="7"/>
      <c r="I604" s="8"/>
    </row>
    <row x14ac:dyDescent="0.25" r="605" customHeight="1" ht="14.25">
      <c r="A605" s="30"/>
      <c r="B605" s="30"/>
      <c r="C605" s="7"/>
      <c r="D605" s="30"/>
      <c r="E605" s="7"/>
      <c r="F605" s="7"/>
      <c r="G605" s="7"/>
      <c r="H605" s="7"/>
      <c r="I605" s="8"/>
    </row>
    <row x14ac:dyDescent="0.25" r="606" customHeight="1" ht="14.25">
      <c r="A606" s="30"/>
      <c r="B606" s="30"/>
      <c r="C606" s="7"/>
      <c r="D606" s="30"/>
      <c r="E606" s="7"/>
      <c r="F606" s="7"/>
      <c r="G606" s="7"/>
      <c r="H606" s="7"/>
      <c r="I606" s="8"/>
    </row>
    <row x14ac:dyDescent="0.25" r="607" customHeight="1" ht="14.25">
      <c r="A607" s="30"/>
      <c r="B607" s="30"/>
      <c r="C607" s="7"/>
      <c r="D607" s="30"/>
      <c r="E607" s="7"/>
      <c r="F607" s="7"/>
      <c r="G607" s="7"/>
      <c r="H607" s="7"/>
      <c r="I607" s="8"/>
    </row>
    <row x14ac:dyDescent="0.25" r="608" customHeight="1" ht="14.25">
      <c r="A608" s="30"/>
      <c r="B608" s="30"/>
      <c r="C608" s="7"/>
      <c r="D608" s="30"/>
      <c r="E608" s="7"/>
      <c r="F608" s="7"/>
      <c r="G608" s="7"/>
      <c r="H608" s="7"/>
      <c r="I608" s="8"/>
    </row>
    <row x14ac:dyDescent="0.25" r="609" customHeight="1" ht="14.25">
      <c r="A609" s="30"/>
      <c r="B609" s="30"/>
      <c r="C609" s="7"/>
      <c r="D609" s="30"/>
      <c r="E609" s="7"/>
      <c r="F609" s="7"/>
      <c r="G609" s="7"/>
      <c r="H609" s="7"/>
      <c r="I609" s="8"/>
    </row>
    <row x14ac:dyDescent="0.25" r="610" customHeight="1" ht="14.25">
      <c r="A610" s="30"/>
      <c r="B610" s="30"/>
      <c r="C610" s="7"/>
      <c r="D610" s="30"/>
      <c r="E610" s="7"/>
      <c r="F610" s="7"/>
      <c r="G610" s="7"/>
      <c r="H610" s="7"/>
      <c r="I610" s="8"/>
    </row>
    <row x14ac:dyDescent="0.25" r="611" customHeight="1" ht="14.25">
      <c r="A611" s="30"/>
      <c r="B611" s="30"/>
      <c r="C611" s="7"/>
      <c r="D611" s="30"/>
      <c r="E611" s="7"/>
      <c r="F611" s="7"/>
      <c r="G611" s="7"/>
      <c r="H611" s="7"/>
      <c r="I611" s="8"/>
    </row>
    <row x14ac:dyDescent="0.25" r="612" customHeight="1" ht="14.25">
      <c r="A612" s="30"/>
      <c r="B612" s="30"/>
      <c r="C612" s="7"/>
      <c r="D612" s="30"/>
      <c r="E612" s="7"/>
      <c r="F612" s="7"/>
      <c r="G612" s="7"/>
      <c r="H612" s="7"/>
      <c r="I612" s="8"/>
    </row>
    <row x14ac:dyDescent="0.25" r="613" customHeight="1" ht="14.25">
      <c r="A613" s="30"/>
      <c r="B613" s="30"/>
      <c r="C613" s="7"/>
      <c r="D613" s="30"/>
      <c r="E613" s="7"/>
      <c r="F613" s="7"/>
      <c r="G613" s="7"/>
      <c r="H613" s="7"/>
      <c r="I613" s="8"/>
    </row>
    <row x14ac:dyDescent="0.25" r="614" customHeight="1" ht="14.25">
      <c r="A614" s="30"/>
      <c r="B614" s="30"/>
      <c r="C614" s="7"/>
      <c r="D614" s="30"/>
      <c r="E614" s="7"/>
      <c r="F614" s="7"/>
      <c r="G614" s="7"/>
      <c r="H614" s="7"/>
      <c r="I614" s="8"/>
    </row>
    <row x14ac:dyDescent="0.25" r="615" customHeight="1" ht="14.25">
      <c r="A615" s="30"/>
      <c r="B615" s="30"/>
      <c r="C615" s="7"/>
      <c r="D615" s="30"/>
      <c r="E615" s="7"/>
      <c r="F615" s="7"/>
      <c r="G615" s="7"/>
      <c r="H615" s="7"/>
      <c r="I615" s="8"/>
    </row>
    <row x14ac:dyDescent="0.25" r="616" customHeight="1" ht="14.25">
      <c r="A616" s="30"/>
      <c r="B616" s="30"/>
      <c r="C616" s="7"/>
      <c r="D616" s="30"/>
      <c r="E616" s="7"/>
      <c r="F616" s="7"/>
      <c r="G616" s="7"/>
      <c r="H616" s="7"/>
      <c r="I616" s="8"/>
    </row>
    <row x14ac:dyDescent="0.25" r="617" customHeight="1" ht="14.25">
      <c r="A617" s="30"/>
      <c r="B617" s="30"/>
      <c r="C617" s="7"/>
      <c r="D617" s="30"/>
      <c r="E617" s="7"/>
      <c r="F617" s="7"/>
      <c r="G617" s="7"/>
      <c r="H617" s="7"/>
      <c r="I617" s="8"/>
    </row>
    <row x14ac:dyDescent="0.25" r="618" customHeight="1" ht="14.25">
      <c r="A618" s="30"/>
      <c r="B618" s="30"/>
      <c r="C618" s="7"/>
      <c r="D618" s="30"/>
      <c r="E618" s="7"/>
      <c r="F618" s="7"/>
      <c r="G618" s="7"/>
      <c r="H618" s="7"/>
      <c r="I618" s="8"/>
    </row>
    <row x14ac:dyDescent="0.25" r="619" customHeight="1" ht="14.25">
      <c r="A619" s="30"/>
      <c r="B619" s="30"/>
      <c r="C619" s="7"/>
      <c r="D619" s="30"/>
      <c r="E619" s="7"/>
      <c r="F619" s="7"/>
      <c r="G619" s="7"/>
      <c r="H619" s="7"/>
      <c r="I619" s="8"/>
    </row>
    <row x14ac:dyDescent="0.25" r="620" customHeight="1" ht="14.25">
      <c r="A620" s="30"/>
      <c r="B620" s="30"/>
      <c r="C620" s="7"/>
      <c r="D620" s="30"/>
      <c r="E620" s="7"/>
      <c r="F620" s="7"/>
      <c r="G620" s="7"/>
      <c r="H620" s="7"/>
      <c r="I620" s="8"/>
    </row>
    <row x14ac:dyDescent="0.25" r="621" customHeight="1" ht="14.25">
      <c r="A621" s="30"/>
      <c r="B621" s="30"/>
      <c r="C621" s="7"/>
      <c r="D621" s="30"/>
      <c r="E621" s="7"/>
      <c r="F621" s="7"/>
      <c r="G621" s="7"/>
      <c r="H621" s="7"/>
      <c r="I621" s="8"/>
    </row>
    <row x14ac:dyDescent="0.25" r="622" customHeight="1" ht="14.25">
      <c r="A622" s="30"/>
      <c r="B622" s="30"/>
      <c r="C622" s="7"/>
      <c r="D622" s="30"/>
      <c r="E622" s="7"/>
      <c r="F622" s="7"/>
      <c r="G622" s="7"/>
      <c r="H622" s="7"/>
      <c r="I622" s="8"/>
    </row>
    <row x14ac:dyDescent="0.25" r="623" customHeight="1" ht="14.25">
      <c r="A623" s="30"/>
      <c r="B623" s="30"/>
      <c r="C623" s="7"/>
      <c r="D623" s="30"/>
      <c r="E623" s="7"/>
      <c r="F623" s="7"/>
      <c r="G623" s="7"/>
      <c r="H623" s="7"/>
      <c r="I623" s="8"/>
    </row>
    <row x14ac:dyDescent="0.25" r="624" customHeight="1" ht="14.25">
      <c r="A624" s="30"/>
      <c r="B624" s="30"/>
      <c r="C624" s="7"/>
      <c r="D624" s="30"/>
      <c r="E624" s="7"/>
      <c r="F624" s="7"/>
      <c r="G624" s="7"/>
      <c r="H624" s="7"/>
      <c r="I624" s="8"/>
    </row>
    <row x14ac:dyDescent="0.25" r="625" customHeight="1" ht="14.25">
      <c r="A625" s="30"/>
      <c r="B625" s="30"/>
      <c r="C625" s="7"/>
      <c r="D625" s="30"/>
      <c r="E625" s="7"/>
      <c r="F625" s="7"/>
      <c r="G625" s="7"/>
      <c r="H625" s="7"/>
      <c r="I625" s="8"/>
    </row>
    <row x14ac:dyDescent="0.25" r="626" customHeight="1" ht="14.25">
      <c r="A626" s="30"/>
      <c r="B626" s="30"/>
      <c r="C626" s="7"/>
      <c r="D626" s="30"/>
      <c r="E626" s="7"/>
      <c r="F626" s="7"/>
      <c r="G626" s="7"/>
      <c r="H626" s="7"/>
      <c r="I626" s="8"/>
    </row>
    <row x14ac:dyDescent="0.25" r="627" customHeight="1" ht="14.25">
      <c r="A627" s="30"/>
      <c r="B627" s="30"/>
      <c r="C627" s="7"/>
      <c r="D627" s="30"/>
      <c r="E627" s="7"/>
      <c r="F627" s="7"/>
      <c r="G627" s="7"/>
      <c r="H627" s="7"/>
      <c r="I627" s="8"/>
    </row>
    <row x14ac:dyDescent="0.25" r="628" customHeight="1" ht="14.25">
      <c r="A628" s="30"/>
      <c r="B628" s="30"/>
      <c r="C628" s="7"/>
      <c r="D628" s="30"/>
      <c r="E628" s="7"/>
      <c r="F628" s="7"/>
      <c r="G628" s="7"/>
      <c r="H628" s="7"/>
      <c r="I628" s="8"/>
    </row>
    <row x14ac:dyDescent="0.25" r="629" customHeight="1" ht="14.25">
      <c r="A629" s="30"/>
      <c r="B629" s="30"/>
      <c r="C629" s="7"/>
      <c r="D629" s="30"/>
      <c r="E629" s="7"/>
      <c r="F629" s="7"/>
      <c r="G629" s="7"/>
      <c r="H629" s="7"/>
      <c r="I629" s="8"/>
    </row>
    <row x14ac:dyDescent="0.25" r="630" customHeight="1" ht="14.25">
      <c r="A630" s="30"/>
      <c r="B630" s="30"/>
      <c r="C630" s="7"/>
      <c r="D630" s="30"/>
      <c r="E630" s="7"/>
      <c r="F630" s="7"/>
      <c r="G630" s="7"/>
      <c r="H630" s="7"/>
      <c r="I630" s="8"/>
    </row>
    <row x14ac:dyDescent="0.25" r="631" customHeight="1" ht="14.25">
      <c r="A631" s="30"/>
      <c r="B631" s="30"/>
      <c r="C631" s="7"/>
      <c r="D631" s="30"/>
      <c r="E631" s="7"/>
      <c r="F631" s="7"/>
      <c r="G631" s="7"/>
      <c r="H631" s="7"/>
      <c r="I631" s="8"/>
    </row>
    <row x14ac:dyDescent="0.25" r="632" customHeight="1" ht="14.25">
      <c r="A632" s="30"/>
      <c r="B632" s="30"/>
      <c r="C632" s="7"/>
      <c r="D632" s="30"/>
      <c r="E632" s="7"/>
      <c r="F632" s="7"/>
      <c r="G632" s="7"/>
      <c r="H632" s="7"/>
      <c r="I632" s="8"/>
    </row>
    <row x14ac:dyDescent="0.25" r="633" customHeight="1" ht="14.25">
      <c r="A633" s="30"/>
      <c r="B633" s="30"/>
      <c r="C633" s="7"/>
      <c r="D633" s="30"/>
      <c r="E633" s="7"/>
      <c r="F633" s="7"/>
      <c r="G633" s="7"/>
      <c r="H633" s="7"/>
      <c r="I633" s="8"/>
    </row>
    <row x14ac:dyDescent="0.25" r="634" customHeight="1" ht="14.25">
      <c r="A634" s="30"/>
      <c r="B634" s="30"/>
      <c r="C634" s="7"/>
      <c r="D634" s="30"/>
      <c r="E634" s="7"/>
      <c r="F634" s="7"/>
      <c r="G634" s="7"/>
      <c r="H634" s="7"/>
      <c r="I634" s="8"/>
    </row>
    <row x14ac:dyDescent="0.25" r="635" customHeight="1" ht="14.25">
      <c r="A635" s="30"/>
      <c r="B635" s="30"/>
      <c r="C635" s="7"/>
      <c r="D635" s="30"/>
      <c r="E635" s="7"/>
      <c r="F635" s="7"/>
      <c r="G635" s="7"/>
      <c r="H635" s="7"/>
      <c r="I635" s="8"/>
    </row>
    <row x14ac:dyDescent="0.25" r="636" customHeight="1" ht="14.25">
      <c r="A636" s="30"/>
      <c r="B636" s="30"/>
      <c r="C636" s="7"/>
      <c r="D636" s="30"/>
      <c r="E636" s="7"/>
      <c r="F636" s="7"/>
      <c r="G636" s="7"/>
      <c r="H636" s="7"/>
      <c r="I636" s="8"/>
    </row>
    <row x14ac:dyDescent="0.25" r="637" customHeight="1" ht="14.25">
      <c r="A637" s="30"/>
      <c r="B637" s="30"/>
      <c r="C637" s="7"/>
      <c r="D637" s="30"/>
      <c r="E637" s="7"/>
      <c r="F637" s="7"/>
      <c r="G637" s="7"/>
      <c r="H637" s="7"/>
      <c r="I637" s="8"/>
    </row>
    <row x14ac:dyDescent="0.25" r="638" customHeight="1" ht="14.25">
      <c r="A638" s="30"/>
      <c r="B638" s="30"/>
      <c r="C638" s="7"/>
      <c r="D638" s="30"/>
      <c r="E638" s="7"/>
      <c r="F638" s="7"/>
      <c r="G638" s="7"/>
      <c r="H638" s="7"/>
      <c r="I638" s="8"/>
    </row>
    <row x14ac:dyDescent="0.25" r="639" customHeight="1" ht="14.25">
      <c r="A639" s="30"/>
      <c r="B639" s="30"/>
      <c r="C639" s="7"/>
      <c r="D639" s="30"/>
      <c r="E639" s="7"/>
      <c r="F639" s="7"/>
      <c r="G639" s="7"/>
      <c r="H639" s="7"/>
      <c r="I639" s="8"/>
    </row>
    <row x14ac:dyDescent="0.25" r="640" customHeight="1" ht="14.25">
      <c r="A640" s="30"/>
      <c r="B640" s="30"/>
      <c r="C640" s="7"/>
      <c r="D640" s="30"/>
      <c r="E640" s="7"/>
      <c r="F640" s="7"/>
      <c r="G640" s="7"/>
      <c r="H640" s="7"/>
      <c r="I640" s="8"/>
    </row>
    <row x14ac:dyDescent="0.25" r="641" customHeight="1" ht="14.25">
      <c r="A641" s="30"/>
      <c r="B641" s="30"/>
      <c r="C641" s="7"/>
      <c r="D641" s="30"/>
      <c r="E641" s="7"/>
      <c r="F641" s="7"/>
      <c r="G641" s="7"/>
      <c r="H641" s="7"/>
      <c r="I641" s="8"/>
    </row>
    <row x14ac:dyDescent="0.25" r="642" customHeight="1" ht="14.25">
      <c r="A642" s="30"/>
      <c r="B642" s="30"/>
      <c r="C642" s="7"/>
      <c r="D642" s="30"/>
      <c r="E642" s="7"/>
      <c r="F642" s="7"/>
      <c r="G642" s="7"/>
      <c r="H642" s="7"/>
      <c r="I642" s="8"/>
    </row>
    <row x14ac:dyDescent="0.25" r="643" customHeight="1" ht="14.25">
      <c r="A643" s="30"/>
      <c r="B643" s="30"/>
      <c r="C643" s="7"/>
      <c r="D643" s="30"/>
      <c r="E643" s="7"/>
      <c r="F643" s="7"/>
      <c r="G643" s="7"/>
      <c r="H643" s="7"/>
      <c r="I643" s="8"/>
    </row>
    <row x14ac:dyDescent="0.25" r="644" customHeight="1" ht="14.25">
      <c r="A644" s="30"/>
      <c r="B644" s="30"/>
      <c r="C644" s="7"/>
      <c r="D644" s="30"/>
      <c r="E644" s="7"/>
      <c r="F644" s="7"/>
      <c r="G644" s="7"/>
      <c r="H644" s="7"/>
      <c r="I644" s="8"/>
    </row>
    <row x14ac:dyDescent="0.25" r="645" customHeight="1" ht="14.25">
      <c r="A645" s="30"/>
      <c r="B645" s="30"/>
      <c r="C645" s="7"/>
      <c r="D645" s="30"/>
      <c r="E645" s="7"/>
      <c r="F645" s="7"/>
      <c r="G645" s="7"/>
      <c r="H645" s="7"/>
      <c r="I645" s="8"/>
    </row>
    <row x14ac:dyDescent="0.25" r="646" customHeight="1" ht="14.25">
      <c r="A646" s="30"/>
      <c r="B646" s="30"/>
      <c r="C646" s="7"/>
      <c r="D646" s="30"/>
      <c r="E646" s="7"/>
      <c r="F646" s="7"/>
      <c r="G646" s="7"/>
      <c r="H646" s="7"/>
      <c r="I646" s="8"/>
    </row>
    <row x14ac:dyDescent="0.25" r="647" customHeight="1" ht="14.25">
      <c r="A647" s="30"/>
      <c r="B647" s="30"/>
      <c r="C647" s="7"/>
      <c r="D647" s="30"/>
      <c r="E647" s="7"/>
      <c r="F647" s="7"/>
      <c r="G647" s="7"/>
      <c r="H647" s="7"/>
      <c r="I647" s="8"/>
    </row>
    <row x14ac:dyDescent="0.25" r="648" customHeight="1" ht="14.25">
      <c r="A648" s="30"/>
      <c r="B648" s="30"/>
      <c r="C648" s="7"/>
      <c r="D648" s="30"/>
      <c r="E648" s="7"/>
      <c r="F648" s="7"/>
      <c r="G648" s="7"/>
      <c r="H648" s="7"/>
      <c r="I648" s="8"/>
    </row>
    <row x14ac:dyDescent="0.25" r="649" customHeight="1" ht="14.25">
      <c r="A649" s="30"/>
      <c r="B649" s="30"/>
      <c r="C649" s="7"/>
      <c r="D649" s="30"/>
      <c r="E649" s="7"/>
      <c r="F649" s="7"/>
      <c r="G649" s="7"/>
      <c r="H649" s="7"/>
      <c r="I649" s="8"/>
    </row>
    <row x14ac:dyDescent="0.25" r="650" customHeight="1" ht="14.25">
      <c r="A650" s="30"/>
      <c r="B650" s="30"/>
      <c r="C650" s="7"/>
      <c r="D650" s="30"/>
      <c r="E650" s="7"/>
      <c r="F650" s="7"/>
      <c r="G650" s="7"/>
      <c r="H650" s="7"/>
      <c r="I650" s="8"/>
    </row>
    <row x14ac:dyDescent="0.25" r="651" customHeight="1" ht="14.25">
      <c r="A651" s="30"/>
      <c r="B651" s="30"/>
      <c r="C651" s="7"/>
      <c r="D651" s="30"/>
      <c r="E651" s="7"/>
      <c r="F651" s="7"/>
      <c r="G651" s="7"/>
      <c r="H651" s="7"/>
      <c r="I651" s="8"/>
    </row>
    <row x14ac:dyDescent="0.25" r="652" customHeight="1" ht="14.25">
      <c r="A652" s="30"/>
      <c r="B652" s="30"/>
      <c r="C652" s="7"/>
      <c r="D652" s="30"/>
      <c r="E652" s="7"/>
      <c r="F652" s="7"/>
      <c r="G652" s="7"/>
      <c r="H652" s="7"/>
      <c r="I652" s="8"/>
    </row>
    <row x14ac:dyDescent="0.25" r="653" customHeight="1" ht="14.25">
      <c r="A653" s="30"/>
      <c r="B653" s="30"/>
      <c r="C653" s="7"/>
      <c r="D653" s="30"/>
      <c r="E653" s="7"/>
      <c r="F653" s="7"/>
      <c r="G653" s="7"/>
      <c r="H653" s="7"/>
      <c r="I653" s="8"/>
    </row>
    <row x14ac:dyDescent="0.25" r="654" customHeight="1" ht="14.25">
      <c r="A654" s="30"/>
      <c r="B654" s="30"/>
      <c r="C654" s="7"/>
      <c r="D654" s="30"/>
      <c r="E654" s="7"/>
      <c r="F654" s="7"/>
      <c r="G654" s="7"/>
      <c r="H654" s="7"/>
      <c r="I654" s="8"/>
    </row>
    <row x14ac:dyDescent="0.25" r="655" customHeight="1" ht="14.25">
      <c r="A655" s="30"/>
      <c r="B655" s="30"/>
      <c r="C655" s="7"/>
      <c r="D655" s="30"/>
      <c r="E655" s="7"/>
      <c r="F655" s="7"/>
      <c r="G655" s="7"/>
      <c r="H655" s="7"/>
      <c r="I655" s="8"/>
    </row>
    <row x14ac:dyDescent="0.25" r="656" customHeight="1" ht="14.25">
      <c r="A656" s="30"/>
      <c r="B656" s="30"/>
      <c r="C656" s="7"/>
      <c r="D656" s="30"/>
      <c r="E656" s="7"/>
      <c r="F656" s="7"/>
      <c r="G656" s="7"/>
      <c r="H656" s="7"/>
      <c r="I656" s="8"/>
    </row>
    <row x14ac:dyDescent="0.25" r="657" customHeight="1" ht="14.25">
      <c r="A657" s="30"/>
      <c r="B657" s="30"/>
      <c r="C657" s="7"/>
      <c r="D657" s="30"/>
      <c r="E657" s="7"/>
      <c r="F657" s="7"/>
      <c r="G657" s="7"/>
      <c r="H657" s="7"/>
      <c r="I657" s="8"/>
    </row>
    <row x14ac:dyDescent="0.25" r="658" customHeight="1" ht="14.25">
      <c r="A658" s="30"/>
      <c r="B658" s="30"/>
      <c r="C658" s="7"/>
      <c r="D658" s="30"/>
      <c r="E658" s="7"/>
      <c r="F658" s="7"/>
      <c r="G658" s="7"/>
      <c r="H658" s="7"/>
      <c r="I658" s="8"/>
    </row>
    <row x14ac:dyDescent="0.25" r="659" customHeight="1" ht="14.25">
      <c r="A659" s="30"/>
      <c r="B659" s="30"/>
      <c r="C659" s="7"/>
      <c r="D659" s="30"/>
      <c r="E659" s="7"/>
      <c r="F659" s="7"/>
      <c r="G659" s="7"/>
      <c r="H659" s="7"/>
      <c r="I659" s="8"/>
    </row>
    <row x14ac:dyDescent="0.25" r="660" customHeight="1" ht="14.25">
      <c r="A660" s="30"/>
      <c r="B660" s="30"/>
      <c r="C660" s="7"/>
      <c r="D660" s="30"/>
      <c r="E660" s="7"/>
      <c r="F660" s="7"/>
      <c r="G660" s="7"/>
      <c r="H660" s="7"/>
      <c r="I660" s="8"/>
    </row>
    <row x14ac:dyDescent="0.25" r="661" customHeight="1" ht="14.25">
      <c r="A661" s="30"/>
      <c r="B661" s="30"/>
      <c r="C661" s="7"/>
      <c r="D661" s="30"/>
      <c r="E661" s="7"/>
      <c r="F661" s="7"/>
      <c r="G661" s="7"/>
      <c r="H661" s="7"/>
      <c r="I661" s="8"/>
    </row>
    <row x14ac:dyDescent="0.25" r="662" customHeight="1" ht="14.25">
      <c r="A662" s="30"/>
      <c r="B662" s="30"/>
      <c r="C662" s="7"/>
      <c r="D662" s="30"/>
      <c r="E662" s="7"/>
      <c r="F662" s="7"/>
      <c r="G662" s="7"/>
      <c r="H662" s="7"/>
      <c r="I662" s="8"/>
    </row>
    <row x14ac:dyDescent="0.25" r="663" customHeight="1" ht="14.25">
      <c r="A663" s="30"/>
      <c r="B663" s="30"/>
      <c r="C663" s="7"/>
      <c r="D663" s="30"/>
      <c r="E663" s="7"/>
      <c r="F663" s="7"/>
      <c r="G663" s="7"/>
      <c r="H663" s="7"/>
      <c r="I663" s="8"/>
    </row>
    <row x14ac:dyDescent="0.25" r="664" customHeight="1" ht="14.25">
      <c r="A664" s="30"/>
      <c r="B664" s="30"/>
      <c r="C664" s="7"/>
      <c r="D664" s="30"/>
      <c r="E664" s="7"/>
      <c r="F664" s="7"/>
      <c r="G664" s="7"/>
      <c r="H664" s="7"/>
      <c r="I664" s="8"/>
    </row>
    <row x14ac:dyDescent="0.25" r="665" customHeight="1" ht="14.25">
      <c r="A665" s="30"/>
      <c r="B665" s="30"/>
      <c r="C665" s="7"/>
      <c r="D665" s="30"/>
      <c r="E665" s="7"/>
      <c r="F665" s="7"/>
      <c r="G665" s="7"/>
      <c r="H665" s="7"/>
      <c r="I665" s="8"/>
    </row>
    <row x14ac:dyDescent="0.25" r="666" customHeight="1" ht="14.25">
      <c r="A666" s="30"/>
      <c r="B666" s="30"/>
      <c r="C666" s="7"/>
      <c r="D666" s="30"/>
      <c r="E666" s="7"/>
      <c r="F666" s="7"/>
      <c r="G666" s="7"/>
      <c r="H666" s="7"/>
      <c r="I666" s="8"/>
    </row>
    <row x14ac:dyDescent="0.25" r="667" customHeight="1" ht="14.25">
      <c r="A667" s="30"/>
      <c r="B667" s="30"/>
      <c r="C667" s="7"/>
      <c r="D667" s="30"/>
      <c r="E667" s="7"/>
      <c r="F667" s="7"/>
      <c r="G667" s="7"/>
      <c r="H667" s="7"/>
      <c r="I667" s="8"/>
    </row>
    <row x14ac:dyDescent="0.25" r="668" customHeight="1" ht="14.25">
      <c r="A668" s="30"/>
      <c r="B668" s="30"/>
      <c r="C668" s="7"/>
      <c r="D668" s="30"/>
      <c r="E668" s="7"/>
      <c r="F668" s="7"/>
      <c r="G668" s="7"/>
      <c r="H668" s="7"/>
      <c r="I668" s="8"/>
    </row>
    <row x14ac:dyDescent="0.25" r="669" customHeight="1" ht="14.25">
      <c r="A669" s="30"/>
      <c r="B669" s="30"/>
      <c r="C669" s="7"/>
      <c r="D669" s="30"/>
      <c r="E669" s="7"/>
      <c r="F669" s="7"/>
      <c r="G669" s="7"/>
      <c r="H669" s="7"/>
      <c r="I669" s="8"/>
    </row>
    <row x14ac:dyDescent="0.25" r="670" customHeight="1" ht="14.25">
      <c r="A670" s="30"/>
      <c r="B670" s="30"/>
      <c r="C670" s="7"/>
      <c r="D670" s="30"/>
      <c r="E670" s="7"/>
      <c r="F670" s="7"/>
      <c r="G670" s="7"/>
      <c r="H670" s="7"/>
      <c r="I670" s="8"/>
    </row>
    <row x14ac:dyDescent="0.25" r="671" customHeight="1" ht="14.25">
      <c r="A671" s="30"/>
      <c r="B671" s="30"/>
      <c r="C671" s="7"/>
      <c r="D671" s="30"/>
      <c r="E671" s="7"/>
      <c r="F671" s="7"/>
      <c r="G671" s="7"/>
      <c r="H671" s="7"/>
      <c r="I671" s="8"/>
    </row>
    <row x14ac:dyDescent="0.25" r="672" customHeight="1" ht="14.25">
      <c r="A672" s="30"/>
      <c r="B672" s="30"/>
      <c r="C672" s="7"/>
      <c r="D672" s="30"/>
      <c r="E672" s="7"/>
      <c r="F672" s="7"/>
      <c r="G672" s="7"/>
      <c r="H672" s="7"/>
      <c r="I672" s="8"/>
    </row>
    <row x14ac:dyDescent="0.25" r="673" customHeight="1" ht="14.25">
      <c r="A673" s="30"/>
      <c r="B673" s="30"/>
      <c r="C673" s="7"/>
      <c r="D673" s="30"/>
      <c r="E673" s="7"/>
      <c r="F673" s="7"/>
      <c r="G673" s="7"/>
      <c r="H673" s="7"/>
      <c r="I673" s="8"/>
    </row>
    <row x14ac:dyDescent="0.25" r="674" customHeight="1" ht="14.25">
      <c r="A674" s="30"/>
      <c r="B674" s="30"/>
      <c r="C674" s="7"/>
      <c r="D674" s="30"/>
      <c r="E674" s="7"/>
      <c r="F674" s="7"/>
      <c r="G674" s="7"/>
      <c r="H674" s="7"/>
      <c r="I674" s="8"/>
    </row>
    <row x14ac:dyDescent="0.25" r="675" customHeight="1" ht="14.25">
      <c r="A675" s="30"/>
      <c r="B675" s="30"/>
      <c r="C675" s="7"/>
      <c r="D675" s="30"/>
      <c r="E675" s="7"/>
      <c r="F675" s="7"/>
      <c r="G675" s="7"/>
      <c r="H675" s="7"/>
      <c r="I675" s="8"/>
    </row>
    <row x14ac:dyDescent="0.25" r="676" customHeight="1" ht="14.25">
      <c r="A676" s="30"/>
      <c r="B676" s="30"/>
      <c r="C676" s="7"/>
      <c r="D676" s="30"/>
      <c r="E676" s="7"/>
      <c r="F676" s="7"/>
      <c r="G676" s="7"/>
      <c r="H676" s="7"/>
      <c r="I676" s="8"/>
    </row>
    <row x14ac:dyDescent="0.25" r="677" customHeight="1" ht="14.25">
      <c r="A677" s="30"/>
      <c r="B677" s="30"/>
      <c r="C677" s="7"/>
      <c r="D677" s="30"/>
      <c r="E677" s="7"/>
      <c r="F677" s="7"/>
      <c r="G677" s="7"/>
      <c r="H677" s="7"/>
      <c r="I677" s="8"/>
    </row>
    <row x14ac:dyDescent="0.25" r="678" customHeight="1" ht="14.25">
      <c r="A678" s="30"/>
      <c r="B678" s="30"/>
      <c r="C678" s="7"/>
      <c r="D678" s="30"/>
      <c r="E678" s="7"/>
      <c r="F678" s="7"/>
      <c r="G678" s="7"/>
      <c r="H678" s="7"/>
      <c r="I678" s="8"/>
    </row>
    <row x14ac:dyDescent="0.25" r="679" customHeight="1" ht="14.25">
      <c r="A679" s="30"/>
      <c r="B679" s="30"/>
      <c r="C679" s="7"/>
      <c r="D679" s="30"/>
      <c r="E679" s="7"/>
      <c r="F679" s="7"/>
      <c r="G679" s="7"/>
      <c r="H679" s="7"/>
      <c r="I679" s="8"/>
    </row>
    <row x14ac:dyDescent="0.25" r="680" customHeight="1" ht="14.25">
      <c r="A680" s="30"/>
      <c r="B680" s="30"/>
      <c r="C680" s="7"/>
      <c r="D680" s="30"/>
      <c r="E680" s="7"/>
      <c r="F680" s="7"/>
      <c r="G680" s="7"/>
      <c r="H680" s="7"/>
      <c r="I680" s="8"/>
    </row>
    <row x14ac:dyDescent="0.25" r="681" customHeight="1" ht="14.25">
      <c r="A681" s="30"/>
      <c r="B681" s="30"/>
      <c r="C681" s="7"/>
      <c r="D681" s="30"/>
      <c r="E681" s="7"/>
      <c r="F681" s="7"/>
      <c r="G681" s="7"/>
      <c r="H681" s="7"/>
      <c r="I681" s="8"/>
    </row>
    <row x14ac:dyDescent="0.25" r="682" customHeight="1" ht="14.25">
      <c r="A682" s="30"/>
      <c r="B682" s="30"/>
      <c r="C682" s="7"/>
      <c r="D682" s="30"/>
      <c r="E682" s="7"/>
      <c r="F682" s="7"/>
      <c r="G682" s="7"/>
      <c r="H682" s="7"/>
      <c r="I682" s="8"/>
    </row>
    <row x14ac:dyDescent="0.25" r="683" customHeight="1" ht="14.25">
      <c r="A683" s="30"/>
      <c r="B683" s="30"/>
      <c r="C683" s="7"/>
      <c r="D683" s="30"/>
      <c r="E683" s="7"/>
      <c r="F683" s="7"/>
      <c r="G683" s="7"/>
      <c r="H683" s="7"/>
      <c r="I683" s="8"/>
    </row>
    <row x14ac:dyDescent="0.25" r="684" customHeight="1" ht="14.25">
      <c r="A684" s="30"/>
      <c r="B684" s="30"/>
      <c r="C684" s="7"/>
      <c r="D684" s="30"/>
      <c r="E684" s="7"/>
      <c r="F684" s="7"/>
      <c r="G684" s="7"/>
      <c r="H684" s="7"/>
      <c r="I684" s="8"/>
    </row>
    <row x14ac:dyDescent="0.25" r="685" customHeight="1" ht="14.25">
      <c r="A685" s="30"/>
      <c r="B685" s="30"/>
      <c r="C685" s="7"/>
      <c r="D685" s="30"/>
      <c r="E685" s="7"/>
      <c r="F685" s="7"/>
      <c r="G685" s="7"/>
      <c r="H685" s="7"/>
      <c r="I685" s="8"/>
    </row>
    <row x14ac:dyDescent="0.25" r="686" customHeight="1" ht="14.25">
      <c r="A686" s="30"/>
      <c r="B686" s="30"/>
      <c r="C686" s="7"/>
      <c r="D686" s="30"/>
      <c r="E686" s="7"/>
      <c r="F686" s="7"/>
      <c r="G686" s="7"/>
      <c r="H686" s="7"/>
      <c r="I686" s="8"/>
    </row>
    <row x14ac:dyDescent="0.25" r="687" customHeight="1" ht="14.25">
      <c r="A687" s="30"/>
      <c r="B687" s="30"/>
      <c r="C687" s="7"/>
      <c r="D687" s="30"/>
      <c r="E687" s="7"/>
      <c r="F687" s="7"/>
      <c r="G687" s="7"/>
      <c r="H687" s="7"/>
      <c r="I687" s="8"/>
    </row>
    <row x14ac:dyDescent="0.25" r="688" customHeight="1" ht="14.25">
      <c r="A688" s="30"/>
      <c r="B688" s="30"/>
      <c r="C688" s="7"/>
      <c r="D688" s="30"/>
      <c r="E688" s="7"/>
      <c r="F688" s="7"/>
      <c r="G688" s="7"/>
      <c r="H688" s="7"/>
      <c r="I688" s="8"/>
    </row>
    <row x14ac:dyDescent="0.25" r="689" customHeight="1" ht="14.25">
      <c r="A689" s="30"/>
      <c r="B689" s="30"/>
      <c r="C689" s="7"/>
      <c r="D689" s="30"/>
      <c r="E689" s="7"/>
      <c r="F689" s="7"/>
      <c r="G689" s="7"/>
      <c r="H689" s="7"/>
      <c r="I689" s="8"/>
    </row>
    <row x14ac:dyDescent="0.25" r="690" customHeight="1" ht="14.25">
      <c r="A690" s="30"/>
      <c r="B690" s="30"/>
      <c r="C690" s="7"/>
      <c r="D690" s="30"/>
      <c r="E690" s="7"/>
      <c r="F690" s="7"/>
      <c r="G690" s="7"/>
      <c r="H690" s="7"/>
      <c r="I690" s="8"/>
    </row>
    <row x14ac:dyDescent="0.25" r="691" customHeight="1" ht="14.25">
      <c r="A691" s="30"/>
      <c r="B691" s="30"/>
      <c r="C691" s="7"/>
      <c r="D691" s="30"/>
      <c r="E691" s="7"/>
      <c r="F691" s="7"/>
      <c r="G691" s="7"/>
      <c r="H691" s="7"/>
      <c r="I691" s="8"/>
    </row>
    <row x14ac:dyDescent="0.25" r="692" customHeight="1" ht="14.25">
      <c r="A692" s="30"/>
      <c r="B692" s="30"/>
      <c r="C692" s="7"/>
      <c r="D692" s="30"/>
      <c r="E692" s="7"/>
      <c r="F692" s="7"/>
      <c r="G692" s="7"/>
      <c r="H692" s="7"/>
      <c r="I692" s="8"/>
    </row>
    <row x14ac:dyDescent="0.25" r="693" customHeight="1" ht="14.25">
      <c r="A693" s="30"/>
      <c r="B693" s="30"/>
      <c r="C693" s="7"/>
      <c r="D693" s="30"/>
      <c r="E693" s="7"/>
      <c r="F693" s="7"/>
      <c r="G693" s="7"/>
      <c r="H693" s="7"/>
      <c r="I693" s="8"/>
    </row>
    <row x14ac:dyDescent="0.25" r="694" customHeight="1" ht="14.25">
      <c r="A694" s="30"/>
      <c r="B694" s="30"/>
      <c r="C694" s="7"/>
      <c r="D694" s="30"/>
      <c r="E694" s="7"/>
      <c r="F694" s="7"/>
      <c r="G694" s="7"/>
      <c r="H694" s="7"/>
      <c r="I694" s="8"/>
    </row>
    <row x14ac:dyDescent="0.25" r="695" customHeight="1" ht="14.25">
      <c r="A695" s="30"/>
      <c r="B695" s="30"/>
      <c r="C695" s="7"/>
      <c r="D695" s="30"/>
      <c r="E695" s="7"/>
      <c r="F695" s="7"/>
      <c r="G695" s="7"/>
      <c r="H695" s="7"/>
      <c r="I695" s="8"/>
    </row>
    <row x14ac:dyDescent="0.25" r="696" customHeight="1" ht="14.25">
      <c r="A696" s="30"/>
      <c r="B696" s="30"/>
      <c r="C696" s="7"/>
      <c r="D696" s="30"/>
      <c r="E696" s="7"/>
      <c r="F696" s="7"/>
      <c r="G696" s="7"/>
      <c r="H696" s="7"/>
      <c r="I696" s="8"/>
    </row>
    <row x14ac:dyDescent="0.25" r="697" customHeight="1" ht="14.25">
      <c r="A697" s="30"/>
      <c r="B697" s="30"/>
      <c r="C697" s="7"/>
      <c r="D697" s="30"/>
      <c r="E697" s="7"/>
      <c r="F697" s="7"/>
      <c r="G697" s="7"/>
      <c r="H697" s="7"/>
      <c r="I697" s="8"/>
    </row>
    <row x14ac:dyDescent="0.25" r="698" customHeight="1" ht="14.25">
      <c r="A698" s="30"/>
      <c r="B698" s="30"/>
      <c r="C698" s="7"/>
      <c r="D698" s="30"/>
      <c r="E698" s="7"/>
      <c r="F698" s="7"/>
      <c r="G698" s="7"/>
      <c r="H698" s="7"/>
      <c r="I698" s="8"/>
    </row>
    <row x14ac:dyDescent="0.25" r="699" customHeight="1" ht="14.25">
      <c r="A699" s="30"/>
      <c r="B699" s="30"/>
      <c r="C699" s="7"/>
      <c r="D699" s="30"/>
      <c r="E699" s="7"/>
      <c r="F699" s="7"/>
      <c r="G699" s="7"/>
      <c r="H699" s="7"/>
      <c r="I699" s="8"/>
    </row>
    <row x14ac:dyDescent="0.25" r="700" customHeight="1" ht="14.25">
      <c r="A700" s="30"/>
      <c r="B700" s="30"/>
      <c r="C700" s="7"/>
      <c r="D700" s="30"/>
      <c r="E700" s="7"/>
      <c r="F700" s="7"/>
      <c r="G700" s="7"/>
      <c r="H700" s="7"/>
      <c r="I700" s="8"/>
    </row>
    <row x14ac:dyDescent="0.25" r="701" customHeight="1" ht="14.25">
      <c r="A701" s="30"/>
      <c r="B701" s="30"/>
      <c r="C701" s="7"/>
      <c r="D701" s="30"/>
      <c r="E701" s="7"/>
      <c r="F701" s="7"/>
      <c r="G701" s="7"/>
      <c r="H701" s="7"/>
      <c r="I701" s="8"/>
    </row>
    <row x14ac:dyDescent="0.25" r="702" customHeight="1" ht="14.25">
      <c r="A702" s="30"/>
      <c r="B702" s="30"/>
      <c r="C702" s="7"/>
      <c r="D702" s="30"/>
      <c r="E702" s="7"/>
      <c r="F702" s="7"/>
      <c r="G702" s="7"/>
      <c r="H702" s="7"/>
      <c r="I702" s="8"/>
    </row>
    <row x14ac:dyDescent="0.25" r="703" customHeight="1" ht="14.25">
      <c r="A703" s="30"/>
      <c r="B703" s="30"/>
      <c r="C703" s="7"/>
      <c r="D703" s="30"/>
      <c r="E703" s="7"/>
      <c r="F703" s="7"/>
      <c r="G703" s="7"/>
      <c r="H703" s="7"/>
      <c r="I703" s="8"/>
    </row>
    <row x14ac:dyDescent="0.25" r="704" customHeight="1" ht="14.25">
      <c r="A704" s="30"/>
      <c r="B704" s="30"/>
      <c r="C704" s="7"/>
      <c r="D704" s="30"/>
      <c r="E704" s="7"/>
      <c r="F704" s="7"/>
      <c r="G704" s="7"/>
      <c r="H704" s="7"/>
      <c r="I704" s="8"/>
    </row>
    <row x14ac:dyDescent="0.25" r="705" customHeight="1" ht="14.25">
      <c r="A705" s="30"/>
      <c r="B705" s="30"/>
      <c r="C705" s="7"/>
      <c r="D705" s="30"/>
      <c r="E705" s="7"/>
      <c r="F705" s="7"/>
      <c r="G705" s="7"/>
      <c r="H705" s="7"/>
      <c r="I705" s="8"/>
    </row>
    <row x14ac:dyDescent="0.25" r="706" customHeight="1" ht="14.25">
      <c r="A706" s="30"/>
      <c r="B706" s="30"/>
      <c r="C706" s="7"/>
      <c r="D706" s="30"/>
      <c r="E706" s="7"/>
      <c r="F706" s="7"/>
      <c r="G706" s="7"/>
      <c r="H706" s="7"/>
      <c r="I706" s="8"/>
    </row>
    <row x14ac:dyDescent="0.25" r="707" customHeight="1" ht="14.25">
      <c r="A707" s="30"/>
      <c r="B707" s="30"/>
      <c r="C707" s="7"/>
      <c r="D707" s="30"/>
      <c r="E707" s="7"/>
      <c r="F707" s="7"/>
      <c r="G707" s="7"/>
      <c r="H707" s="7"/>
      <c r="I707" s="8"/>
    </row>
    <row x14ac:dyDescent="0.25" r="708" customHeight="1" ht="14.25">
      <c r="A708" s="30"/>
      <c r="B708" s="30"/>
      <c r="C708" s="7"/>
      <c r="D708" s="30"/>
      <c r="E708" s="7"/>
      <c r="F708" s="7"/>
      <c r="G708" s="7"/>
      <c r="H708" s="7"/>
      <c r="I708" s="8"/>
    </row>
    <row x14ac:dyDescent="0.25" r="709" customHeight="1" ht="14.25">
      <c r="A709" s="30"/>
      <c r="B709" s="30"/>
      <c r="C709" s="7"/>
      <c r="D709" s="30"/>
      <c r="E709" s="7"/>
      <c r="F709" s="7"/>
      <c r="G709" s="7"/>
      <c r="H709" s="7"/>
      <c r="I709" s="8"/>
    </row>
    <row x14ac:dyDescent="0.25" r="710" customHeight="1" ht="14.25">
      <c r="A710" s="30"/>
      <c r="B710" s="30"/>
      <c r="C710" s="7"/>
      <c r="D710" s="30"/>
      <c r="E710" s="7"/>
      <c r="F710" s="7"/>
      <c r="G710" s="7"/>
      <c r="H710" s="7"/>
      <c r="I710" s="8"/>
    </row>
    <row x14ac:dyDescent="0.25" r="711" customHeight="1" ht="14.25">
      <c r="A711" s="30"/>
      <c r="B711" s="30"/>
      <c r="C711" s="7"/>
      <c r="D711" s="30"/>
      <c r="E711" s="7"/>
      <c r="F711" s="7"/>
      <c r="G711" s="7"/>
      <c r="H711" s="7"/>
      <c r="I711" s="8"/>
    </row>
    <row x14ac:dyDescent="0.25" r="712" customHeight="1" ht="14.25">
      <c r="A712" s="30"/>
      <c r="B712" s="30"/>
      <c r="C712" s="7"/>
      <c r="D712" s="30"/>
      <c r="E712" s="7"/>
      <c r="F712" s="7"/>
      <c r="G712" s="7"/>
      <c r="H712" s="7"/>
      <c r="I712" s="8"/>
    </row>
    <row x14ac:dyDescent="0.25" r="713" customHeight="1" ht="14.25">
      <c r="A713" s="30"/>
      <c r="B713" s="30"/>
      <c r="C713" s="7"/>
      <c r="D713" s="30"/>
      <c r="E713" s="7"/>
      <c r="F713" s="7"/>
      <c r="G713" s="7"/>
      <c r="H713" s="7"/>
      <c r="I713" s="8"/>
    </row>
    <row x14ac:dyDescent="0.25" r="714" customHeight="1" ht="14.25">
      <c r="A714" s="30"/>
      <c r="B714" s="30"/>
      <c r="C714" s="7"/>
      <c r="D714" s="30"/>
      <c r="E714" s="7"/>
      <c r="F714" s="7"/>
      <c r="G714" s="7"/>
      <c r="H714" s="7"/>
      <c r="I714" s="8"/>
    </row>
    <row x14ac:dyDescent="0.25" r="715" customHeight="1" ht="14.25">
      <c r="A715" s="30"/>
      <c r="B715" s="30"/>
      <c r="C715" s="7"/>
      <c r="D715" s="30"/>
      <c r="E715" s="7"/>
      <c r="F715" s="7"/>
      <c r="G715" s="7"/>
      <c r="H715" s="7"/>
      <c r="I715" s="8"/>
    </row>
    <row x14ac:dyDescent="0.25" r="716" customHeight="1" ht="14.25">
      <c r="A716" s="30"/>
      <c r="B716" s="30"/>
      <c r="C716" s="7"/>
      <c r="D716" s="30"/>
      <c r="E716" s="7"/>
      <c r="F716" s="7"/>
      <c r="G716" s="7"/>
      <c r="H716" s="7"/>
      <c r="I716" s="8"/>
    </row>
    <row x14ac:dyDescent="0.25" r="717" customHeight="1" ht="14.25">
      <c r="A717" s="30"/>
      <c r="B717" s="30"/>
      <c r="C717" s="7"/>
      <c r="D717" s="30"/>
      <c r="E717" s="7"/>
      <c r="F717" s="7"/>
      <c r="G717" s="7"/>
      <c r="H717" s="7"/>
      <c r="I717" s="8"/>
    </row>
    <row x14ac:dyDescent="0.25" r="718" customHeight="1" ht="14.25">
      <c r="A718" s="30"/>
      <c r="B718" s="30"/>
      <c r="C718" s="7"/>
      <c r="D718" s="30"/>
      <c r="E718" s="7"/>
      <c r="F718" s="7"/>
      <c r="G718" s="7"/>
      <c r="H718" s="7"/>
      <c r="I718" s="8"/>
    </row>
    <row x14ac:dyDescent="0.25" r="719" customHeight="1" ht="14.25">
      <c r="A719" s="30"/>
      <c r="B719" s="30"/>
      <c r="C719" s="7"/>
      <c r="D719" s="30"/>
      <c r="E719" s="7"/>
      <c r="F719" s="7"/>
      <c r="G719" s="7"/>
      <c r="H719" s="7"/>
      <c r="I719" s="8"/>
    </row>
    <row x14ac:dyDescent="0.25" r="720" customHeight="1" ht="14.25">
      <c r="A720" s="30"/>
      <c r="B720" s="30"/>
      <c r="C720" s="7"/>
      <c r="D720" s="30"/>
      <c r="E720" s="7"/>
      <c r="F720" s="7"/>
      <c r="G720" s="7"/>
      <c r="H720" s="7"/>
      <c r="I720" s="8"/>
    </row>
    <row x14ac:dyDescent="0.25" r="721" customHeight="1" ht="14.25">
      <c r="A721" s="30"/>
      <c r="B721" s="30"/>
      <c r="C721" s="7"/>
      <c r="D721" s="30"/>
      <c r="E721" s="7"/>
      <c r="F721" s="7"/>
      <c r="G721" s="7"/>
      <c r="H721" s="7"/>
      <c r="I721" s="8"/>
    </row>
    <row x14ac:dyDescent="0.25" r="722" customHeight="1" ht="14.25">
      <c r="A722" s="30"/>
      <c r="B722" s="30"/>
      <c r="C722" s="7"/>
      <c r="D722" s="30"/>
      <c r="E722" s="7"/>
      <c r="F722" s="7"/>
      <c r="G722" s="7"/>
      <c r="H722" s="7"/>
      <c r="I722" s="8"/>
    </row>
    <row x14ac:dyDescent="0.25" r="723" customHeight="1" ht="14.25">
      <c r="A723" s="30"/>
      <c r="B723" s="30"/>
      <c r="C723" s="7"/>
      <c r="D723" s="30"/>
      <c r="E723" s="7"/>
      <c r="F723" s="7"/>
      <c r="G723" s="7"/>
      <c r="H723" s="7"/>
      <c r="I723" s="8"/>
    </row>
    <row x14ac:dyDescent="0.25" r="724" customHeight="1" ht="14.25">
      <c r="A724" s="30"/>
      <c r="B724" s="30"/>
      <c r="C724" s="7"/>
      <c r="D724" s="30"/>
      <c r="E724" s="7"/>
      <c r="F724" s="7"/>
      <c r="G724" s="7"/>
      <c r="H724" s="7"/>
      <c r="I724" s="8"/>
    </row>
    <row x14ac:dyDescent="0.25" r="725" customHeight="1" ht="14.25">
      <c r="A725" s="30"/>
      <c r="B725" s="30"/>
      <c r="C725" s="7"/>
      <c r="D725" s="30"/>
      <c r="E725" s="7"/>
      <c r="F725" s="7"/>
      <c r="G725" s="7"/>
      <c r="H725" s="7"/>
      <c r="I725" s="8"/>
    </row>
    <row x14ac:dyDescent="0.25" r="726" customHeight="1" ht="14.25">
      <c r="A726" s="30"/>
      <c r="B726" s="30"/>
      <c r="C726" s="7"/>
      <c r="D726" s="30"/>
      <c r="E726" s="7"/>
      <c r="F726" s="7"/>
      <c r="G726" s="7"/>
      <c r="H726" s="7"/>
      <c r="I726" s="8"/>
    </row>
    <row x14ac:dyDescent="0.25" r="727" customHeight="1" ht="14.25">
      <c r="A727" s="30"/>
      <c r="B727" s="30"/>
      <c r="C727" s="7"/>
      <c r="D727" s="30"/>
      <c r="E727" s="7"/>
      <c r="F727" s="7"/>
      <c r="G727" s="7"/>
      <c r="H727" s="7"/>
      <c r="I727" s="8"/>
    </row>
    <row x14ac:dyDescent="0.25" r="728" customHeight="1" ht="14.25">
      <c r="A728" s="30"/>
      <c r="B728" s="30"/>
      <c r="C728" s="7"/>
      <c r="D728" s="30"/>
      <c r="E728" s="7"/>
      <c r="F728" s="7"/>
      <c r="G728" s="7"/>
      <c r="H728" s="7"/>
      <c r="I728" s="8"/>
    </row>
    <row x14ac:dyDescent="0.25" r="729" customHeight="1" ht="14.25">
      <c r="A729" s="30"/>
      <c r="B729" s="30"/>
      <c r="C729" s="7"/>
      <c r="D729" s="30"/>
      <c r="E729" s="7"/>
      <c r="F729" s="7"/>
      <c r="G729" s="7"/>
      <c r="H729" s="7"/>
      <c r="I729" s="8"/>
    </row>
    <row x14ac:dyDescent="0.25" r="730" customHeight="1" ht="14.25">
      <c r="A730" s="30"/>
      <c r="B730" s="30"/>
      <c r="C730" s="7"/>
      <c r="D730" s="30"/>
      <c r="E730" s="7"/>
      <c r="F730" s="7"/>
      <c r="G730" s="7"/>
      <c r="H730" s="7"/>
      <c r="I730" s="8"/>
    </row>
    <row x14ac:dyDescent="0.25" r="731" customHeight="1" ht="14.25">
      <c r="A731" s="30"/>
      <c r="B731" s="30"/>
      <c r="C731" s="7"/>
      <c r="D731" s="30"/>
      <c r="E731" s="7"/>
      <c r="F731" s="7"/>
      <c r="G731" s="7"/>
      <c r="H731" s="7"/>
      <c r="I731" s="8"/>
    </row>
    <row x14ac:dyDescent="0.25" r="732" customHeight="1" ht="14.25">
      <c r="A732" s="30"/>
      <c r="B732" s="30"/>
      <c r="C732" s="7"/>
      <c r="D732" s="30"/>
      <c r="E732" s="7"/>
      <c r="F732" s="7"/>
      <c r="G732" s="7"/>
      <c r="H732" s="7"/>
      <c r="I732" s="8"/>
    </row>
    <row x14ac:dyDescent="0.25" r="733" customHeight="1" ht="14.25">
      <c r="A733" s="30"/>
      <c r="B733" s="30"/>
      <c r="C733" s="7"/>
      <c r="D733" s="30"/>
      <c r="E733" s="7"/>
      <c r="F733" s="7"/>
      <c r="G733" s="7"/>
      <c r="H733" s="7"/>
      <c r="I733" s="8"/>
    </row>
    <row x14ac:dyDescent="0.25" r="734" customHeight="1" ht="14.25">
      <c r="A734" s="30"/>
      <c r="B734" s="30"/>
      <c r="C734" s="7"/>
      <c r="D734" s="30"/>
      <c r="E734" s="7"/>
      <c r="F734" s="7"/>
      <c r="G734" s="7"/>
      <c r="H734" s="7"/>
      <c r="I734" s="8"/>
    </row>
    <row x14ac:dyDescent="0.25" r="735" customHeight="1" ht="14.25">
      <c r="A735" s="30"/>
      <c r="B735" s="30"/>
      <c r="C735" s="7"/>
      <c r="D735" s="30"/>
      <c r="E735" s="7"/>
      <c r="F735" s="7"/>
      <c r="G735" s="7"/>
      <c r="H735" s="7"/>
      <c r="I735" s="8"/>
    </row>
    <row x14ac:dyDescent="0.25" r="736" customHeight="1" ht="14.25">
      <c r="A736" s="30"/>
      <c r="B736" s="30"/>
      <c r="C736" s="7"/>
      <c r="D736" s="30"/>
      <c r="E736" s="7"/>
      <c r="F736" s="7"/>
      <c r="G736" s="7"/>
      <c r="H736" s="7"/>
      <c r="I736" s="8"/>
    </row>
    <row x14ac:dyDescent="0.25" r="737" customHeight="1" ht="14.25">
      <c r="A737" s="30"/>
      <c r="B737" s="30"/>
      <c r="C737" s="7"/>
      <c r="D737" s="30"/>
      <c r="E737" s="7"/>
      <c r="F737" s="7"/>
      <c r="G737" s="7"/>
      <c r="H737" s="7"/>
      <c r="I737" s="8"/>
    </row>
    <row x14ac:dyDescent="0.25" r="738" customHeight="1" ht="14.25">
      <c r="A738" s="30"/>
      <c r="B738" s="30"/>
      <c r="C738" s="7"/>
      <c r="D738" s="30"/>
      <c r="E738" s="7"/>
      <c r="F738" s="7"/>
      <c r="G738" s="7"/>
      <c r="H738" s="7"/>
      <c r="I738" s="8"/>
    </row>
    <row x14ac:dyDescent="0.25" r="739" customHeight="1" ht="14.25">
      <c r="A739" s="30"/>
      <c r="B739" s="30"/>
      <c r="C739" s="7"/>
      <c r="D739" s="30"/>
      <c r="E739" s="7"/>
      <c r="F739" s="7"/>
      <c r="G739" s="7"/>
      <c r="H739" s="7"/>
      <c r="I739" s="8"/>
    </row>
    <row x14ac:dyDescent="0.25" r="740" customHeight="1" ht="14.25">
      <c r="A740" s="30"/>
      <c r="B740" s="30"/>
      <c r="C740" s="7"/>
      <c r="D740" s="30"/>
      <c r="E740" s="7"/>
      <c r="F740" s="7"/>
      <c r="G740" s="7"/>
      <c r="H740" s="7"/>
      <c r="I740" s="8"/>
    </row>
    <row x14ac:dyDescent="0.25" r="741" customHeight="1" ht="14.25">
      <c r="A741" s="30"/>
      <c r="B741" s="30"/>
      <c r="C741" s="7"/>
      <c r="D741" s="30"/>
      <c r="E741" s="7"/>
      <c r="F741" s="7"/>
      <c r="G741" s="7"/>
      <c r="H741" s="7"/>
      <c r="I741" s="8"/>
    </row>
    <row x14ac:dyDescent="0.25" r="742" customHeight="1" ht="14.25">
      <c r="A742" s="30"/>
      <c r="B742" s="30"/>
      <c r="C742" s="7"/>
      <c r="D742" s="30"/>
      <c r="E742" s="7"/>
      <c r="F742" s="7"/>
      <c r="G742" s="7"/>
      <c r="H742" s="7"/>
      <c r="I742" s="8"/>
    </row>
    <row x14ac:dyDescent="0.25" r="743" customHeight="1" ht="14.25">
      <c r="A743" s="30"/>
      <c r="B743" s="30"/>
      <c r="C743" s="7"/>
      <c r="D743" s="30"/>
      <c r="E743" s="7"/>
      <c r="F743" s="7"/>
      <c r="G743" s="7"/>
      <c r="H743" s="7"/>
      <c r="I743" s="8"/>
    </row>
    <row x14ac:dyDescent="0.25" r="744" customHeight="1" ht="14.25">
      <c r="A744" s="30"/>
      <c r="B744" s="30"/>
      <c r="C744" s="7"/>
      <c r="D744" s="30"/>
      <c r="E744" s="7"/>
      <c r="F744" s="7"/>
      <c r="G744" s="7"/>
      <c r="H744" s="7"/>
      <c r="I744" s="8"/>
    </row>
    <row x14ac:dyDescent="0.25" r="745" customHeight="1" ht="14.25">
      <c r="A745" s="30"/>
      <c r="B745" s="30"/>
      <c r="C745" s="7"/>
      <c r="D745" s="30"/>
      <c r="E745" s="7"/>
      <c r="F745" s="7"/>
      <c r="G745" s="7"/>
      <c r="H745" s="7"/>
      <c r="I745" s="8"/>
    </row>
    <row x14ac:dyDescent="0.25" r="746" customHeight="1" ht="14.25">
      <c r="A746" s="30"/>
      <c r="B746" s="30"/>
      <c r="C746" s="7"/>
      <c r="D746" s="30"/>
      <c r="E746" s="7"/>
      <c r="F746" s="7"/>
      <c r="G746" s="7"/>
      <c r="H746" s="7"/>
      <c r="I746" s="8"/>
    </row>
    <row x14ac:dyDescent="0.25" r="747" customHeight="1" ht="14.25">
      <c r="A747" s="30"/>
      <c r="B747" s="30"/>
      <c r="C747" s="7"/>
      <c r="D747" s="30"/>
      <c r="E747" s="7"/>
      <c r="F747" s="7"/>
      <c r="G747" s="7"/>
      <c r="H747" s="7"/>
      <c r="I747" s="8"/>
    </row>
    <row x14ac:dyDescent="0.25" r="748" customHeight="1" ht="14.25">
      <c r="A748" s="30"/>
      <c r="B748" s="30"/>
      <c r="C748" s="7"/>
      <c r="D748" s="30"/>
      <c r="E748" s="7"/>
      <c r="F748" s="7"/>
      <c r="G748" s="7"/>
      <c r="H748" s="7"/>
      <c r="I748" s="8"/>
    </row>
    <row x14ac:dyDescent="0.25" r="749" customHeight="1" ht="14.25">
      <c r="A749" s="30"/>
      <c r="B749" s="30"/>
      <c r="C749" s="7"/>
      <c r="D749" s="30"/>
      <c r="E749" s="7"/>
      <c r="F749" s="7"/>
      <c r="G749" s="7"/>
      <c r="H749" s="7"/>
      <c r="I749" s="8"/>
    </row>
    <row x14ac:dyDescent="0.25" r="750" customHeight="1" ht="14.25">
      <c r="A750" s="30"/>
      <c r="B750" s="30"/>
      <c r="C750" s="7"/>
      <c r="D750" s="30"/>
      <c r="E750" s="7"/>
      <c r="F750" s="7"/>
      <c r="G750" s="7"/>
      <c r="H750" s="7"/>
      <c r="I750" s="8"/>
    </row>
    <row x14ac:dyDescent="0.25" r="751" customHeight="1" ht="14.25">
      <c r="A751" s="30"/>
      <c r="B751" s="30"/>
      <c r="C751" s="7"/>
      <c r="D751" s="30"/>
      <c r="E751" s="7"/>
      <c r="F751" s="7"/>
      <c r="G751" s="7"/>
      <c r="H751" s="7"/>
      <c r="I751" s="8"/>
    </row>
    <row x14ac:dyDescent="0.25" r="752" customHeight="1" ht="14.25">
      <c r="A752" s="30"/>
      <c r="B752" s="30"/>
      <c r="C752" s="7"/>
      <c r="D752" s="30"/>
      <c r="E752" s="7"/>
      <c r="F752" s="7"/>
      <c r="G752" s="7"/>
      <c r="H752" s="7"/>
      <c r="I752" s="8"/>
    </row>
    <row x14ac:dyDescent="0.25" r="753" customHeight="1" ht="14.25">
      <c r="A753" s="30"/>
      <c r="B753" s="30"/>
      <c r="C753" s="7"/>
      <c r="D753" s="30"/>
      <c r="E753" s="7"/>
      <c r="F753" s="7"/>
      <c r="G753" s="7"/>
      <c r="H753" s="7"/>
      <c r="I753" s="8"/>
    </row>
    <row x14ac:dyDescent="0.25" r="754" customHeight="1" ht="14.25">
      <c r="A754" s="30"/>
      <c r="B754" s="30"/>
      <c r="C754" s="7"/>
      <c r="D754" s="30"/>
      <c r="E754" s="7"/>
      <c r="F754" s="7"/>
      <c r="G754" s="7"/>
      <c r="H754" s="7"/>
      <c r="I754" s="8"/>
    </row>
    <row x14ac:dyDescent="0.25" r="755" customHeight="1" ht="14.25">
      <c r="A755" s="30"/>
      <c r="B755" s="30"/>
      <c r="C755" s="7"/>
      <c r="D755" s="30"/>
      <c r="E755" s="7"/>
      <c r="F755" s="7"/>
      <c r="G755" s="7"/>
      <c r="H755" s="7"/>
      <c r="I755" s="8"/>
    </row>
    <row x14ac:dyDescent="0.25" r="756" customHeight="1" ht="14.25">
      <c r="A756" s="30"/>
      <c r="B756" s="30"/>
      <c r="C756" s="7"/>
      <c r="D756" s="30"/>
      <c r="E756" s="7"/>
      <c r="F756" s="7"/>
      <c r="G756" s="7"/>
      <c r="H756" s="7"/>
      <c r="I756" s="8"/>
    </row>
    <row x14ac:dyDescent="0.25" r="757" customHeight="1" ht="14.25">
      <c r="A757" s="30"/>
      <c r="B757" s="30"/>
      <c r="C757" s="7"/>
      <c r="D757" s="30"/>
      <c r="E757" s="7"/>
      <c r="F757" s="7"/>
      <c r="G757" s="7"/>
      <c r="H757" s="7"/>
      <c r="I757" s="8"/>
    </row>
    <row x14ac:dyDescent="0.25" r="758" customHeight="1" ht="14.25">
      <c r="A758" s="30"/>
      <c r="B758" s="30"/>
      <c r="C758" s="7"/>
      <c r="D758" s="30"/>
      <c r="E758" s="7"/>
      <c r="F758" s="7"/>
      <c r="G758" s="7"/>
      <c r="H758" s="7"/>
      <c r="I758" s="8"/>
    </row>
    <row x14ac:dyDescent="0.25" r="759" customHeight="1" ht="14.25">
      <c r="A759" s="30"/>
      <c r="B759" s="30"/>
      <c r="C759" s="7"/>
      <c r="D759" s="30"/>
      <c r="E759" s="7"/>
      <c r="F759" s="7"/>
      <c r="G759" s="7"/>
      <c r="H759" s="7"/>
      <c r="I759" s="8"/>
    </row>
    <row x14ac:dyDescent="0.25" r="760" customHeight="1" ht="14.25">
      <c r="A760" s="30"/>
      <c r="B760" s="30"/>
      <c r="C760" s="7"/>
      <c r="D760" s="30"/>
      <c r="E760" s="7"/>
      <c r="F760" s="7"/>
      <c r="G760" s="7"/>
      <c r="H760" s="7"/>
      <c r="I760" s="8"/>
    </row>
    <row x14ac:dyDescent="0.25" r="761" customHeight="1" ht="14.25">
      <c r="A761" s="30"/>
      <c r="B761" s="30"/>
      <c r="C761" s="7"/>
      <c r="D761" s="30"/>
      <c r="E761" s="7"/>
      <c r="F761" s="7"/>
      <c r="G761" s="7"/>
      <c r="H761" s="7"/>
      <c r="I761" s="8"/>
    </row>
    <row x14ac:dyDescent="0.25" r="762" customHeight="1" ht="14.25">
      <c r="A762" s="30"/>
      <c r="B762" s="30"/>
      <c r="C762" s="7"/>
      <c r="D762" s="30"/>
      <c r="E762" s="7"/>
      <c r="F762" s="7"/>
      <c r="G762" s="7"/>
      <c r="H762" s="7"/>
      <c r="I762" s="8"/>
    </row>
    <row x14ac:dyDescent="0.25" r="763" customHeight="1" ht="14.25">
      <c r="A763" s="30"/>
      <c r="B763" s="30"/>
      <c r="C763" s="7"/>
      <c r="D763" s="30"/>
      <c r="E763" s="7"/>
      <c r="F763" s="7"/>
      <c r="G763" s="7"/>
      <c r="H763" s="7"/>
      <c r="I763" s="8"/>
    </row>
    <row x14ac:dyDescent="0.25" r="764" customHeight="1" ht="14.25">
      <c r="A764" s="30"/>
      <c r="B764" s="30"/>
      <c r="C764" s="7"/>
      <c r="D764" s="30"/>
      <c r="E764" s="7"/>
      <c r="F764" s="7"/>
      <c r="G764" s="7"/>
      <c r="H764" s="7"/>
      <c r="I764" s="8"/>
    </row>
    <row x14ac:dyDescent="0.25" r="765" customHeight="1" ht="14.25">
      <c r="A765" s="30"/>
      <c r="B765" s="30"/>
      <c r="C765" s="7"/>
      <c r="D765" s="30"/>
      <c r="E765" s="7"/>
      <c r="F765" s="7"/>
      <c r="G765" s="7"/>
      <c r="H765" s="7"/>
      <c r="I765" s="8"/>
    </row>
    <row x14ac:dyDescent="0.25" r="766" customHeight="1" ht="14.25">
      <c r="A766" s="30"/>
      <c r="B766" s="30"/>
      <c r="C766" s="7"/>
      <c r="D766" s="30"/>
      <c r="E766" s="7"/>
      <c r="F766" s="7"/>
      <c r="G766" s="7"/>
      <c r="H766" s="7"/>
      <c r="I766" s="8"/>
    </row>
    <row x14ac:dyDescent="0.25" r="767" customHeight="1" ht="14.25">
      <c r="A767" s="30"/>
      <c r="B767" s="30"/>
      <c r="C767" s="7"/>
      <c r="D767" s="30"/>
      <c r="E767" s="7"/>
      <c r="F767" s="7"/>
      <c r="G767" s="7"/>
      <c r="H767" s="7"/>
      <c r="I767" s="8"/>
    </row>
    <row x14ac:dyDescent="0.25" r="768" customHeight="1" ht="14.25">
      <c r="A768" s="30"/>
      <c r="B768" s="30"/>
      <c r="C768" s="7"/>
      <c r="D768" s="30"/>
      <c r="E768" s="7"/>
      <c r="F768" s="7"/>
      <c r="G768" s="7"/>
      <c r="H768" s="7"/>
      <c r="I768" s="8"/>
    </row>
    <row x14ac:dyDescent="0.25" r="769" customHeight="1" ht="14.25">
      <c r="A769" s="30"/>
      <c r="B769" s="30"/>
      <c r="C769" s="7"/>
      <c r="D769" s="30"/>
      <c r="E769" s="7"/>
      <c r="F769" s="7"/>
      <c r="G769" s="7"/>
      <c r="H769" s="7"/>
      <c r="I769" s="8"/>
    </row>
    <row x14ac:dyDescent="0.25" r="770" customHeight="1" ht="14.25">
      <c r="A770" s="30"/>
      <c r="B770" s="30"/>
      <c r="C770" s="7"/>
      <c r="D770" s="30"/>
      <c r="E770" s="7"/>
      <c r="F770" s="7"/>
      <c r="G770" s="7"/>
      <c r="H770" s="7"/>
      <c r="I770" s="8"/>
    </row>
    <row x14ac:dyDescent="0.25" r="771" customHeight="1" ht="14.25">
      <c r="A771" s="30"/>
      <c r="B771" s="30"/>
      <c r="C771" s="7"/>
      <c r="D771" s="30"/>
      <c r="E771" s="7"/>
      <c r="F771" s="7"/>
      <c r="G771" s="7"/>
      <c r="H771" s="7"/>
      <c r="I771" s="8"/>
    </row>
    <row x14ac:dyDescent="0.25" r="772" customHeight="1" ht="14.25">
      <c r="A772" s="30"/>
      <c r="B772" s="30"/>
      <c r="C772" s="7"/>
      <c r="D772" s="30"/>
      <c r="E772" s="7"/>
      <c r="F772" s="7"/>
      <c r="G772" s="7"/>
      <c r="H772" s="7"/>
      <c r="I772" s="8"/>
    </row>
    <row x14ac:dyDescent="0.25" r="773" customHeight="1" ht="14.25">
      <c r="A773" s="30"/>
      <c r="B773" s="30"/>
      <c r="C773" s="7"/>
      <c r="D773" s="30"/>
      <c r="E773" s="7"/>
      <c r="F773" s="7"/>
      <c r="G773" s="7"/>
      <c r="H773" s="7"/>
      <c r="I773" s="8"/>
    </row>
    <row x14ac:dyDescent="0.25" r="774" customHeight="1" ht="14.25">
      <c r="A774" s="30"/>
      <c r="B774" s="30"/>
      <c r="C774" s="7"/>
      <c r="D774" s="30"/>
      <c r="E774" s="7"/>
      <c r="F774" s="7"/>
      <c r="G774" s="7"/>
      <c r="H774" s="7"/>
      <c r="I774" s="8"/>
    </row>
    <row x14ac:dyDescent="0.25" r="775" customHeight="1" ht="14.25">
      <c r="A775" s="30"/>
      <c r="B775" s="30"/>
      <c r="C775" s="7"/>
      <c r="D775" s="30"/>
      <c r="E775" s="7"/>
      <c r="F775" s="7"/>
      <c r="G775" s="7"/>
      <c r="H775" s="7"/>
      <c r="I775" s="8"/>
    </row>
    <row x14ac:dyDescent="0.25" r="776" customHeight="1" ht="14.25">
      <c r="A776" s="30"/>
      <c r="B776" s="30"/>
      <c r="C776" s="7"/>
      <c r="D776" s="30"/>
      <c r="E776" s="7"/>
      <c r="F776" s="7"/>
      <c r="G776" s="7"/>
      <c r="H776" s="7"/>
      <c r="I776" s="8"/>
    </row>
    <row x14ac:dyDescent="0.25" r="777" customHeight="1" ht="14.25">
      <c r="A777" s="30"/>
      <c r="B777" s="30"/>
      <c r="C777" s="7"/>
      <c r="D777" s="30"/>
      <c r="E777" s="7"/>
      <c r="F777" s="7"/>
      <c r="G777" s="7"/>
      <c r="H777" s="7"/>
      <c r="I777" s="8"/>
    </row>
    <row x14ac:dyDescent="0.25" r="778" customHeight="1" ht="14.25">
      <c r="A778" s="30"/>
      <c r="B778" s="30"/>
      <c r="C778" s="7"/>
      <c r="D778" s="30"/>
      <c r="E778" s="7"/>
      <c r="F778" s="7"/>
      <c r="G778" s="7"/>
      <c r="H778" s="7"/>
      <c r="I778" s="8"/>
    </row>
    <row x14ac:dyDescent="0.25" r="779" customHeight="1" ht="14.25">
      <c r="A779" s="30"/>
      <c r="B779" s="30"/>
      <c r="C779" s="7"/>
      <c r="D779" s="30"/>
      <c r="E779" s="7"/>
      <c r="F779" s="7"/>
      <c r="G779" s="7"/>
      <c r="H779" s="7"/>
      <c r="I779" s="8"/>
    </row>
    <row x14ac:dyDescent="0.25" r="780" customHeight="1" ht="14.25">
      <c r="A780" s="30"/>
      <c r="B780" s="30"/>
      <c r="C780" s="7"/>
      <c r="D780" s="30"/>
      <c r="E780" s="7"/>
      <c r="F780" s="7"/>
      <c r="G780" s="7"/>
      <c r="H780" s="7"/>
      <c r="I780" s="8"/>
    </row>
    <row x14ac:dyDescent="0.25" r="781" customHeight="1" ht="14.25">
      <c r="A781" s="30"/>
      <c r="B781" s="30"/>
      <c r="C781" s="7"/>
      <c r="D781" s="30"/>
      <c r="E781" s="7"/>
      <c r="F781" s="7"/>
      <c r="G781" s="7"/>
      <c r="H781" s="7"/>
      <c r="I781" s="8"/>
    </row>
    <row x14ac:dyDescent="0.25" r="782" customHeight="1" ht="14.25">
      <c r="A782" s="30"/>
      <c r="B782" s="30"/>
      <c r="C782" s="7"/>
      <c r="D782" s="30"/>
      <c r="E782" s="7"/>
      <c r="F782" s="7"/>
      <c r="G782" s="7"/>
      <c r="H782" s="7"/>
      <c r="I782" s="8"/>
    </row>
    <row x14ac:dyDescent="0.25" r="783" customHeight="1" ht="14.25">
      <c r="A783" s="30"/>
      <c r="B783" s="30"/>
      <c r="C783" s="7"/>
      <c r="D783" s="30"/>
      <c r="E783" s="7"/>
      <c r="F783" s="7"/>
      <c r="G783" s="7"/>
      <c r="H783" s="7"/>
      <c r="I783" s="8"/>
    </row>
    <row x14ac:dyDescent="0.25" r="784" customHeight="1" ht="14.25">
      <c r="A784" s="30"/>
      <c r="B784" s="30"/>
      <c r="C784" s="7"/>
      <c r="D784" s="30"/>
      <c r="E784" s="7"/>
      <c r="F784" s="7"/>
      <c r="G784" s="7"/>
      <c r="H784" s="7"/>
      <c r="I784" s="8"/>
    </row>
    <row x14ac:dyDescent="0.25" r="785" customHeight="1" ht="14.25">
      <c r="A785" s="30"/>
      <c r="B785" s="30"/>
      <c r="C785" s="7"/>
      <c r="D785" s="30"/>
      <c r="E785" s="7"/>
      <c r="F785" s="7"/>
      <c r="G785" s="7"/>
      <c r="H785" s="7"/>
      <c r="I785" s="8"/>
    </row>
    <row x14ac:dyDescent="0.25" r="786" customHeight="1" ht="14.25">
      <c r="A786" s="30"/>
      <c r="B786" s="30"/>
      <c r="C786" s="7"/>
      <c r="D786" s="30"/>
      <c r="E786" s="7"/>
      <c r="F786" s="7"/>
      <c r="G786" s="7"/>
      <c r="H786" s="7"/>
      <c r="I786" s="8"/>
    </row>
    <row x14ac:dyDescent="0.25" r="787" customHeight="1" ht="14.25">
      <c r="A787" s="30"/>
      <c r="B787" s="30"/>
      <c r="C787" s="7"/>
      <c r="D787" s="30"/>
      <c r="E787" s="7"/>
      <c r="F787" s="7"/>
      <c r="G787" s="7"/>
      <c r="H787" s="7"/>
      <c r="I787" s="8"/>
    </row>
    <row x14ac:dyDescent="0.25" r="788" customHeight="1" ht="14.25">
      <c r="A788" s="30"/>
      <c r="B788" s="30"/>
      <c r="C788" s="7"/>
      <c r="D788" s="30"/>
      <c r="E788" s="7"/>
      <c r="F788" s="7"/>
      <c r="G788" s="7"/>
      <c r="H788" s="7"/>
      <c r="I788" s="8"/>
    </row>
    <row x14ac:dyDescent="0.25" r="789" customHeight="1" ht="14.25">
      <c r="A789" s="30"/>
      <c r="B789" s="30"/>
      <c r="C789" s="7"/>
      <c r="D789" s="30"/>
      <c r="E789" s="7"/>
      <c r="F789" s="7"/>
      <c r="G789" s="7"/>
      <c r="H789" s="7"/>
      <c r="I789" s="8"/>
    </row>
    <row x14ac:dyDescent="0.25" r="790" customHeight="1" ht="14.25">
      <c r="A790" s="30"/>
      <c r="B790" s="30"/>
      <c r="C790" s="7"/>
      <c r="D790" s="30"/>
      <c r="E790" s="7"/>
      <c r="F790" s="7"/>
      <c r="G790" s="7"/>
      <c r="H790" s="7"/>
      <c r="I790" s="8"/>
    </row>
    <row x14ac:dyDescent="0.25" r="791" customHeight="1" ht="14.25">
      <c r="A791" s="30"/>
      <c r="B791" s="30"/>
      <c r="C791" s="7"/>
      <c r="D791" s="30"/>
      <c r="E791" s="7"/>
      <c r="F791" s="7"/>
      <c r="G791" s="7"/>
      <c r="H791" s="7"/>
      <c r="I791" s="8"/>
    </row>
    <row x14ac:dyDescent="0.25" r="792" customHeight="1" ht="14.25">
      <c r="A792" s="30"/>
      <c r="B792" s="30"/>
      <c r="C792" s="7"/>
      <c r="D792" s="30"/>
      <c r="E792" s="7"/>
      <c r="F792" s="7"/>
      <c r="G792" s="7"/>
      <c r="H792" s="7"/>
      <c r="I792" s="8"/>
    </row>
    <row x14ac:dyDescent="0.25" r="793" customHeight="1" ht="14.25">
      <c r="A793" s="30"/>
      <c r="B793" s="30"/>
      <c r="C793" s="7"/>
      <c r="D793" s="30"/>
      <c r="E793" s="7"/>
      <c r="F793" s="7"/>
      <c r="G793" s="7"/>
      <c r="H793" s="7"/>
      <c r="I793" s="8"/>
    </row>
    <row x14ac:dyDescent="0.25" r="794" customHeight="1" ht="14.25">
      <c r="A794" s="30"/>
      <c r="B794" s="30"/>
      <c r="C794" s="7"/>
      <c r="D794" s="30"/>
      <c r="E794" s="7"/>
      <c r="F794" s="7"/>
      <c r="G794" s="7"/>
      <c r="H794" s="7"/>
      <c r="I794" s="8"/>
    </row>
    <row x14ac:dyDescent="0.25" r="795" customHeight="1" ht="14.25">
      <c r="A795" s="30"/>
      <c r="B795" s="30"/>
      <c r="C795" s="7"/>
      <c r="D795" s="30"/>
      <c r="E795" s="7"/>
      <c r="F795" s="7"/>
      <c r="G795" s="7"/>
      <c r="H795" s="7"/>
      <c r="I795" s="8"/>
    </row>
    <row x14ac:dyDescent="0.25" r="796" customHeight="1" ht="14.25">
      <c r="A796" s="30"/>
      <c r="B796" s="30"/>
      <c r="C796" s="7"/>
      <c r="D796" s="30"/>
      <c r="E796" s="7"/>
      <c r="F796" s="7"/>
      <c r="G796" s="7"/>
      <c r="H796" s="7"/>
      <c r="I796" s="8"/>
    </row>
    <row x14ac:dyDescent="0.25" r="797" customHeight="1" ht="14.25">
      <c r="A797" s="30"/>
      <c r="B797" s="30"/>
      <c r="C797" s="7"/>
      <c r="D797" s="30"/>
      <c r="E797" s="7"/>
      <c r="F797" s="7"/>
      <c r="G797" s="7"/>
      <c r="H797" s="7"/>
      <c r="I797" s="8"/>
    </row>
    <row x14ac:dyDescent="0.25" r="798" customHeight="1" ht="14.25">
      <c r="A798" s="30"/>
      <c r="B798" s="30"/>
      <c r="C798" s="7"/>
      <c r="D798" s="30"/>
      <c r="E798" s="7"/>
      <c r="F798" s="7"/>
      <c r="G798" s="7"/>
      <c r="H798" s="7"/>
      <c r="I798" s="8"/>
    </row>
    <row x14ac:dyDescent="0.25" r="799" customHeight="1" ht="14.25">
      <c r="A799" s="30"/>
      <c r="B799" s="30"/>
      <c r="C799" s="7"/>
      <c r="D799" s="30"/>
      <c r="E799" s="7"/>
      <c r="F799" s="7"/>
      <c r="G799" s="7"/>
      <c r="H799" s="7"/>
      <c r="I799" s="8"/>
    </row>
    <row x14ac:dyDescent="0.25" r="800" customHeight="1" ht="14.25">
      <c r="A800" s="30"/>
      <c r="B800" s="30"/>
      <c r="C800" s="7"/>
      <c r="D800" s="30"/>
      <c r="E800" s="7"/>
      <c r="F800" s="7"/>
      <c r="G800" s="7"/>
      <c r="H800" s="7"/>
      <c r="I800" s="8"/>
    </row>
    <row x14ac:dyDescent="0.25" r="801" customHeight="1" ht="14.25">
      <c r="A801" s="30"/>
      <c r="B801" s="30"/>
      <c r="C801" s="7"/>
      <c r="D801" s="30"/>
      <c r="E801" s="7"/>
      <c r="F801" s="7"/>
      <c r="G801" s="7"/>
      <c r="H801" s="7"/>
      <c r="I801" s="8"/>
    </row>
    <row x14ac:dyDescent="0.25" r="802" customHeight="1" ht="14.25">
      <c r="A802" s="30"/>
      <c r="B802" s="30"/>
      <c r="C802" s="7"/>
      <c r="D802" s="30"/>
      <c r="E802" s="7"/>
      <c r="F802" s="7"/>
      <c r="G802" s="7"/>
      <c r="H802" s="7"/>
      <c r="I802" s="8"/>
    </row>
    <row x14ac:dyDescent="0.25" r="803" customHeight="1" ht="14.25">
      <c r="A803" s="30"/>
      <c r="B803" s="30"/>
      <c r="C803" s="7"/>
      <c r="D803" s="30"/>
      <c r="E803" s="7"/>
      <c r="F803" s="7"/>
      <c r="G803" s="7"/>
      <c r="H803" s="7"/>
      <c r="I803" s="8"/>
    </row>
    <row x14ac:dyDescent="0.25" r="804" customHeight="1" ht="14.25">
      <c r="A804" s="30"/>
      <c r="B804" s="30"/>
      <c r="C804" s="7"/>
      <c r="D804" s="30"/>
      <c r="E804" s="7"/>
      <c r="F804" s="7"/>
      <c r="G804" s="7"/>
      <c r="H804" s="7"/>
      <c r="I804" s="8"/>
    </row>
    <row x14ac:dyDescent="0.25" r="805" customHeight="1" ht="14.25">
      <c r="A805" s="30"/>
      <c r="B805" s="30"/>
      <c r="C805" s="7"/>
      <c r="D805" s="30"/>
      <c r="E805" s="7"/>
      <c r="F805" s="7"/>
      <c r="G805" s="7"/>
      <c r="H805" s="7"/>
      <c r="I805" s="8"/>
    </row>
    <row x14ac:dyDescent="0.25" r="806" customHeight="1" ht="14.25">
      <c r="A806" s="30"/>
      <c r="B806" s="30"/>
      <c r="C806" s="7"/>
      <c r="D806" s="30"/>
      <c r="E806" s="7"/>
      <c r="F806" s="7"/>
      <c r="G806" s="7"/>
      <c r="H806" s="7"/>
      <c r="I806" s="8"/>
    </row>
    <row x14ac:dyDescent="0.25" r="807" customHeight="1" ht="14.25">
      <c r="A807" s="30"/>
      <c r="B807" s="30"/>
      <c r="C807" s="7"/>
      <c r="D807" s="30"/>
      <c r="E807" s="7"/>
      <c r="F807" s="7"/>
      <c r="G807" s="7"/>
      <c r="H807" s="7"/>
      <c r="I807" s="8"/>
    </row>
    <row x14ac:dyDescent="0.25" r="808" customHeight="1" ht="14.25">
      <c r="A808" s="30"/>
      <c r="B808" s="30"/>
      <c r="C808" s="7"/>
      <c r="D808" s="30"/>
      <c r="E808" s="7"/>
      <c r="F808" s="7"/>
      <c r="G808" s="7"/>
      <c r="H808" s="7"/>
      <c r="I808" s="8"/>
    </row>
    <row x14ac:dyDescent="0.25" r="809" customHeight="1" ht="14.25">
      <c r="A809" s="30"/>
      <c r="B809" s="30"/>
      <c r="C809" s="7"/>
      <c r="D809" s="30"/>
      <c r="E809" s="7"/>
      <c r="F809" s="7"/>
      <c r="G809" s="7"/>
      <c r="H809" s="7"/>
      <c r="I809" s="8"/>
    </row>
    <row x14ac:dyDescent="0.25" r="810" customHeight="1" ht="14.25">
      <c r="A810" s="30"/>
      <c r="B810" s="30"/>
      <c r="C810" s="7"/>
      <c r="D810" s="30"/>
      <c r="E810" s="7"/>
      <c r="F810" s="7"/>
      <c r="G810" s="7"/>
      <c r="H810" s="7"/>
      <c r="I810" s="8"/>
    </row>
    <row x14ac:dyDescent="0.25" r="811" customHeight="1" ht="14.25">
      <c r="A811" s="30"/>
      <c r="B811" s="30"/>
      <c r="C811" s="7"/>
      <c r="D811" s="30"/>
      <c r="E811" s="7"/>
      <c r="F811" s="7"/>
      <c r="G811" s="7"/>
      <c r="H811" s="7"/>
      <c r="I811" s="8"/>
    </row>
    <row x14ac:dyDescent="0.25" r="812" customHeight="1" ht="14.25">
      <c r="A812" s="30"/>
      <c r="B812" s="30"/>
      <c r="C812" s="7"/>
      <c r="D812" s="30"/>
      <c r="E812" s="7"/>
      <c r="F812" s="7"/>
      <c r="G812" s="7"/>
      <c r="H812" s="7"/>
      <c r="I812" s="8"/>
    </row>
    <row x14ac:dyDescent="0.25" r="813" customHeight="1" ht="14.25">
      <c r="A813" s="30"/>
      <c r="B813" s="30"/>
      <c r="C813" s="7"/>
      <c r="D813" s="30"/>
      <c r="E813" s="7"/>
      <c r="F813" s="7"/>
      <c r="G813" s="7"/>
      <c r="H813" s="7"/>
      <c r="I813" s="8"/>
    </row>
    <row x14ac:dyDescent="0.25" r="814" customHeight="1" ht="14.25">
      <c r="A814" s="30"/>
      <c r="B814" s="30"/>
      <c r="C814" s="7"/>
      <c r="D814" s="30"/>
      <c r="E814" s="7"/>
      <c r="F814" s="7"/>
      <c r="G814" s="7"/>
      <c r="H814" s="7"/>
      <c r="I814" s="8"/>
    </row>
    <row x14ac:dyDescent="0.25" r="815" customHeight="1" ht="14.25">
      <c r="A815" s="30"/>
      <c r="B815" s="30"/>
      <c r="C815" s="7"/>
      <c r="D815" s="30"/>
      <c r="E815" s="7"/>
      <c r="F815" s="7"/>
      <c r="G815" s="7"/>
      <c r="H815" s="7"/>
      <c r="I815" s="8"/>
    </row>
    <row x14ac:dyDescent="0.25" r="816" customHeight="1" ht="14.25">
      <c r="A816" s="30"/>
      <c r="B816" s="30"/>
      <c r="C816" s="7"/>
      <c r="D816" s="30"/>
      <c r="E816" s="7"/>
      <c r="F816" s="7"/>
      <c r="G816" s="7"/>
      <c r="H816" s="7"/>
      <c r="I816" s="8"/>
    </row>
    <row x14ac:dyDescent="0.25" r="817" customHeight="1" ht="14.25">
      <c r="A817" s="30"/>
      <c r="B817" s="30"/>
      <c r="C817" s="7"/>
      <c r="D817" s="30"/>
      <c r="E817" s="7"/>
      <c r="F817" s="7"/>
      <c r="G817" s="7"/>
      <c r="H817" s="7"/>
      <c r="I817" s="8"/>
    </row>
    <row x14ac:dyDescent="0.25" r="818" customHeight="1" ht="14.25">
      <c r="A818" s="30"/>
      <c r="B818" s="30"/>
      <c r="C818" s="7"/>
      <c r="D818" s="30"/>
      <c r="E818" s="7"/>
      <c r="F818" s="7"/>
      <c r="G818" s="7"/>
      <c r="H818" s="7"/>
      <c r="I818" s="8"/>
    </row>
    <row x14ac:dyDescent="0.25" r="819" customHeight="1" ht="14.25">
      <c r="A819" s="30"/>
      <c r="B819" s="30"/>
      <c r="C819" s="7"/>
      <c r="D819" s="30"/>
      <c r="E819" s="7"/>
      <c r="F819" s="7"/>
      <c r="G819" s="7"/>
      <c r="H819" s="7"/>
      <c r="I819" s="8"/>
    </row>
    <row x14ac:dyDescent="0.25" r="820" customHeight="1" ht="14.25">
      <c r="A820" s="30"/>
      <c r="B820" s="30"/>
      <c r="C820" s="7"/>
      <c r="D820" s="30"/>
      <c r="E820" s="7"/>
      <c r="F820" s="7"/>
      <c r="G820" s="7"/>
      <c r="H820" s="7"/>
      <c r="I820" s="8"/>
    </row>
    <row x14ac:dyDescent="0.25" r="821" customHeight="1" ht="14.25">
      <c r="A821" s="30"/>
      <c r="B821" s="30"/>
      <c r="C821" s="7"/>
      <c r="D821" s="30"/>
      <c r="E821" s="7"/>
      <c r="F821" s="7"/>
      <c r="G821" s="7"/>
      <c r="H821" s="7"/>
      <c r="I821" s="8"/>
    </row>
    <row x14ac:dyDescent="0.25" r="822" customHeight="1" ht="14.25">
      <c r="A822" s="30"/>
      <c r="B822" s="30"/>
      <c r="C822" s="7"/>
      <c r="D822" s="30"/>
      <c r="E822" s="7"/>
      <c r="F822" s="7"/>
      <c r="G822" s="7"/>
      <c r="H822" s="7"/>
      <c r="I822" s="8"/>
    </row>
    <row x14ac:dyDescent="0.25" r="823" customHeight="1" ht="14.25">
      <c r="A823" s="30"/>
      <c r="B823" s="30"/>
      <c r="C823" s="7"/>
      <c r="D823" s="30"/>
      <c r="E823" s="7"/>
      <c r="F823" s="7"/>
      <c r="G823" s="7"/>
      <c r="H823" s="7"/>
      <c r="I823" s="8"/>
    </row>
    <row x14ac:dyDescent="0.25" r="824" customHeight="1" ht="14.25">
      <c r="A824" s="30"/>
      <c r="B824" s="30"/>
      <c r="C824" s="7"/>
      <c r="D824" s="30"/>
      <c r="E824" s="7"/>
      <c r="F824" s="7"/>
      <c r="G824" s="7"/>
      <c r="H824" s="7"/>
      <c r="I824" s="8"/>
    </row>
    <row x14ac:dyDescent="0.25" r="825" customHeight="1" ht="14.25">
      <c r="A825" s="30"/>
      <c r="B825" s="30"/>
      <c r="C825" s="7"/>
      <c r="D825" s="30"/>
      <c r="E825" s="7"/>
      <c r="F825" s="7"/>
      <c r="G825" s="7"/>
      <c r="H825" s="7"/>
      <c r="I825" s="8"/>
    </row>
    <row x14ac:dyDescent="0.25" r="826" customHeight="1" ht="14.25">
      <c r="A826" s="30"/>
      <c r="B826" s="30"/>
      <c r="C826" s="7"/>
      <c r="D826" s="30"/>
      <c r="E826" s="7"/>
      <c r="F826" s="7"/>
      <c r="G826" s="7"/>
      <c r="H826" s="7"/>
      <c r="I826" s="8"/>
    </row>
    <row x14ac:dyDescent="0.25" r="827" customHeight="1" ht="14.25">
      <c r="A827" s="30"/>
      <c r="B827" s="30"/>
      <c r="C827" s="7"/>
      <c r="D827" s="30"/>
      <c r="E827" s="7"/>
      <c r="F827" s="7"/>
      <c r="G827" s="7"/>
      <c r="H827" s="7"/>
      <c r="I827" s="8"/>
    </row>
    <row x14ac:dyDescent="0.25" r="828" customHeight="1" ht="14.25">
      <c r="A828" s="30"/>
      <c r="B828" s="30"/>
      <c r="C828" s="7"/>
      <c r="D828" s="30"/>
      <c r="E828" s="7"/>
      <c r="F828" s="7"/>
      <c r="G828" s="7"/>
      <c r="H828" s="7"/>
      <c r="I828" s="8"/>
    </row>
    <row x14ac:dyDescent="0.25" r="829" customHeight="1" ht="14.25">
      <c r="A829" s="30"/>
      <c r="B829" s="30"/>
      <c r="C829" s="7"/>
      <c r="D829" s="30"/>
      <c r="E829" s="7"/>
      <c r="F829" s="7"/>
      <c r="G829" s="7"/>
      <c r="H829" s="7"/>
      <c r="I829" s="8"/>
    </row>
    <row x14ac:dyDescent="0.25" r="830" customHeight="1" ht="14.25">
      <c r="A830" s="30"/>
      <c r="B830" s="30"/>
      <c r="C830" s="7"/>
      <c r="D830" s="30"/>
      <c r="E830" s="7"/>
      <c r="F830" s="7"/>
      <c r="G830" s="7"/>
      <c r="H830" s="7"/>
      <c r="I830" s="8"/>
    </row>
    <row x14ac:dyDescent="0.25" r="831" customHeight="1" ht="14.25">
      <c r="A831" s="30"/>
      <c r="B831" s="30"/>
      <c r="C831" s="7"/>
      <c r="D831" s="30"/>
      <c r="E831" s="7"/>
      <c r="F831" s="7"/>
      <c r="G831" s="7"/>
      <c r="H831" s="7"/>
      <c r="I831" s="8"/>
    </row>
    <row x14ac:dyDescent="0.25" r="832" customHeight="1" ht="14.25">
      <c r="A832" s="30"/>
      <c r="B832" s="30"/>
      <c r="C832" s="7"/>
      <c r="D832" s="30"/>
      <c r="E832" s="7"/>
      <c r="F832" s="7"/>
      <c r="G832" s="7"/>
      <c r="H832" s="7"/>
      <c r="I832" s="8"/>
    </row>
    <row x14ac:dyDescent="0.25" r="833" customHeight="1" ht="14.25">
      <c r="A833" s="30"/>
      <c r="B833" s="30"/>
      <c r="C833" s="7"/>
      <c r="D833" s="30"/>
      <c r="E833" s="7"/>
      <c r="F833" s="7"/>
      <c r="G833" s="7"/>
      <c r="H833" s="7"/>
      <c r="I833" s="8"/>
    </row>
    <row x14ac:dyDescent="0.25" r="834" customHeight="1" ht="14.25">
      <c r="A834" s="30"/>
      <c r="B834" s="30"/>
      <c r="C834" s="7"/>
      <c r="D834" s="30"/>
      <c r="E834" s="7"/>
      <c r="F834" s="7"/>
      <c r="G834" s="7"/>
      <c r="H834" s="7"/>
      <c r="I834" s="8"/>
    </row>
    <row x14ac:dyDescent="0.25" r="835" customHeight="1" ht="14.25">
      <c r="A835" s="30"/>
      <c r="B835" s="30"/>
      <c r="C835" s="7"/>
      <c r="D835" s="30"/>
      <c r="E835" s="7"/>
      <c r="F835" s="7"/>
      <c r="G835" s="7"/>
      <c r="H835" s="7"/>
      <c r="I835" s="8"/>
    </row>
    <row x14ac:dyDescent="0.25" r="836" customHeight="1" ht="14.25">
      <c r="A836" s="30"/>
      <c r="B836" s="30"/>
      <c r="C836" s="7"/>
      <c r="D836" s="30"/>
      <c r="E836" s="7"/>
      <c r="F836" s="7"/>
      <c r="G836" s="7"/>
      <c r="H836" s="7"/>
      <c r="I836" s="8"/>
    </row>
    <row x14ac:dyDescent="0.25" r="837" customHeight="1" ht="14.25">
      <c r="A837" s="30"/>
      <c r="B837" s="30"/>
      <c r="C837" s="7"/>
      <c r="D837" s="30"/>
      <c r="E837" s="7"/>
      <c r="F837" s="7"/>
      <c r="G837" s="7"/>
      <c r="H837" s="7"/>
      <c r="I837" s="8"/>
    </row>
    <row x14ac:dyDescent="0.25" r="838" customHeight="1" ht="14.25">
      <c r="A838" s="30"/>
      <c r="B838" s="30"/>
      <c r="C838" s="7"/>
      <c r="D838" s="30"/>
      <c r="E838" s="7"/>
      <c r="F838" s="7"/>
      <c r="G838" s="7"/>
      <c r="H838" s="7"/>
      <c r="I838" s="8"/>
    </row>
    <row x14ac:dyDescent="0.25" r="839" customHeight="1" ht="14.25">
      <c r="A839" s="30"/>
      <c r="B839" s="30"/>
      <c r="C839" s="7"/>
      <c r="D839" s="30"/>
      <c r="E839" s="7"/>
      <c r="F839" s="7"/>
      <c r="G839" s="7"/>
      <c r="H839" s="7"/>
      <c r="I839" s="8"/>
    </row>
    <row x14ac:dyDescent="0.25" r="840" customHeight="1" ht="14.25">
      <c r="A840" s="30"/>
      <c r="B840" s="30"/>
      <c r="C840" s="7"/>
      <c r="D840" s="30"/>
      <c r="E840" s="7"/>
      <c r="F840" s="7"/>
      <c r="G840" s="7"/>
      <c r="H840" s="7"/>
      <c r="I840" s="8"/>
    </row>
    <row x14ac:dyDescent="0.25" r="841" customHeight="1" ht="14.25">
      <c r="A841" s="30"/>
      <c r="B841" s="30"/>
      <c r="C841" s="7"/>
      <c r="D841" s="30"/>
      <c r="E841" s="7"/>
      <c r="F841" s="7"/>
      <c r="G841" s="7"/>
      <c r="H841" s="7"/>
      <c r="I841" s="8"/>
    </row>
    <row x14ac:dyDescent="0.25" r="842" customHeight="1" ht="14.25">
      <c r="A842" s="30"/>
      <c r="B842" s="30"/>
      <c r="C842" s="7"/>
      <c r="D842" s="30"/>
      <c r="E842" s="7"/>
      <c r="F842" s="7"/>
      <c r="G842" s="7"/>
      <c r="H842" s="7"/>
      <c r="I842" s="8"/>
    </row>
    <row x14ac:dyDescent="0.25" r="843" customHeight="1" ht="14.25">
      <c r="A843" s="30"/>
      <c r="B843" s="30"/>
      <c r="C843" s="7"/>
      <c r="D843" s="30"/>
      <c r="E843" s="7"/>
      <c r="F843" s="7"/>
      <c r="G843" s="7"/>
      <c r="H843" s="7"/>
      <c r="I843" s="8"/>
    </row>
    <row x14ac:dyDescent="0.25" r="844" customHeight="1" ht="14.25">
      <c r="A844" s="30"/>
      <c r="B844" s="30"/>
      <c r="C844" s="7"/>
      <c r="D844" s="30"/>
      <c r="E844" s="7"/>
      <c r="F844" s="7"/>
      <c r="G844" s="7"/>
      <c r="H844" s="7"/>
      <c r="I844" s="8"/>
    </row>
    <row x14ac:dyDescent="0.25" r="845" customHeight="1" ht="14.25">
      <c r="A845" s="30"/>
      <c r="B845" s="30"/>
      <c r="C845" s="7"/>
      <c r="D845" s="30"/>
      <c r="E845" s="7"/>
      <c r="F845" s="7"/>
      <c r="G845" s="7"/>
      <c r="H845" s="7"/>
      <c r="I845" s="8"/>
    </row>
    <row x14ac:dyDescent="0.25" r="846" customHeight="1" ht="14.25">
      <c r="A846" s="30"/>
      <c r="B846" s="30"/>
      <c r="C846" s="7"/>
      <c r="D846" s="30"/>
      <c r="E846" s="7"/>
      <c r="F846" s="7"/>
      <c r="G846" s="7"/>
      <c r="H846" s="7"/>
      <c r="I846" s="8"/>
    </row>
    <row x14ac:dyDescent="0.25" r="847" customHeight="1" ht="14.25">
      <c r="A847" s="30"/>
      <c r="B847" s="30"/>
      <c r="C847" s="7"/>
      <c r="D847" s="30"/>
      <c r="E847" s="7"/>
      <c r="F847" s="7"/>
      <c r="G847" s="7"/>
      <c r="H847" s="7"/>
      <c r="I847" s="8"/>
    </row>
    <row x14ac:dyDescent="0.25" r="848" customHeight="1" ht="14.25">
      <c r="A848" s="30"/>
      <c r="B848" s="30"/>
      <c r="C848" s="7"/>
      <c r="D848" s="30"/>
      <c r="E848" s="7"/>
      <c r="F848" s="7"/>
      <c r="G848" s="7"/>
      <c r="H848" s="7"/>
      <c r="I848" s="8"/>
    </row>
    <row x14ac:dyDescent="0.25" r="849" customHeight="1" ht="14.25">
      <c r="A849" s="30"/>
      <c r="B849" s="30"/>
      <c r="C849" s="7"/>
      <c r="D849" s="30"/>
      <c r="E849" s="7"/>
      <c r="F849" s="7"/>
      <c r="G849" s="7"/>
      <c r="H849" s="7"/>
      <c r="I849" s="8"/>
    </row>
    <row x14ac:dyDescent="0.25" r="850" customHeight="1" ht="14.25">
      <c r="A850" s="30"/>
      <c r="B850" s="30"/>
      <c r="C850" s="7"/>
      <c r="D850" s="30"/>
      <c r="E850" s="7"/>
      <c r="F850" s="7"/>
      <c r="G850" s="7"/>
      <c r="H850" s="7"/>
      <c r="I850" s="8"/>
    </row>
    <row x14ac:dyDescent="0.25" r="851" customHeight="1" ht="14.25">
      <c r="A851" s="30"/>
      <c r="B851" s="30"/>
      <c r="C851" s="7"/>
      <c r="D851" s="30"/>
      <c r="E851" s="7"/>
      <c r="F851" s="7"/>
      <c r="G851" s="7"/>
      <c r="H851" s="7"/>
      <c r="I851" s="8"/>
    </row>
    <row x14ac:dyDescent="0.25" r="852" customHeight="1" ht="14.25">
      <c r="A852" s="30"/>
      <c r="B852" s="30"/>
      <c r="C852" s="7"/>
      <c r="D852" s="30"/>
      <c r="E852" s="7"/>
      <c r="F852" s="7"/>
      <c r="G852" s="7"/>
      <c r="H852" s="7"/>
      <c r="I852" s="8"/>
    </row>
    <row x14ac:dyDescent="0.25" r="853" customHeight="1" ht="14.25">
      <c r="A853" s="30"/>
      <c r="B853" s="30"/>
      <c r="C853" s="7"/>
      <c r="D853" s="30"/>
      <c r="E853" s="7"/>
      <c r="F853" s="7"/>
      <c r="G853" s="7"/>
      <c r="H853" s="7"/>
      <c r="I853" s="8"/>
    </row>
    <row x14ac:dyDescent="0.25" r="854" customHeight="1" ht="14.25">
      <c r="A854" s="30"/>
      <c r="B854" s="30"/>
      <c r="C854" s="7"/>
      <c r="D854" s="30"/>
      <c r="E854" s="7"/>
      <c r="F854" s="7"/>
      <c r="G854" s="7"/>
      <c r="H854" s="7"/>
      <c r="I854" s="8"/>
    </row>
    <row x14ac:dyDescent="0.25" r="855" customHeight="1" ht="14.25">
      <c r="A855" s="30"/>
      <c r="B855" s="30"/>
      <c r="C855" s="7"/>
      <c r="D855" s="30"/>
      <c r="E855" s="7"/>
      <c r="F855" s="7"/>
      <c r="G855" s="7"/>
      <c r="H855" s="7"/>
      <c r="I855" s="8"/>
    </row>
    <row x14ac:dyDescent="0.25" r="856" customHeight="1" ht="14.25">
      <c r="A856" s="30"/>
      <c r="B856" s="30"/>
      <c r="C856" s="7"/>
      <c r="D856" s="30"/>
      <c r="E856" s="7"/>
      <c r="F856" s="7"/>
      <c r="G856" s="7"/>
      <c r="H856" s="7"/>
      <c r="I856" s="8"/>
    </row>
    <row x14ac:dyDescent="0.25" r="857" customHeight="1" ht="14.25">
      <c r="A857" s="30"/>
      <c r="B857" s="30"/>
      <c r="C857" s="7"/>
      <c r="D857" s="30"/>
      <c r="E857" s="7"/>
      <c r="F857" s="7"/>
      <c r="G857" s="7"/>
      <c r="H857" s="7"/>
      <c r="I857" s="8"/>
    </row>
    <row x14ac:dyDescent="0.25" r="858" customHeight="1" ht="14.25">
      <c r="A858" s="30"/>
      <c r="B858" s="30"/>
      <c r="C858" s="7"/>
      <c r="D858" s="30"/>
      <c r="E858" s="7"/>
      <c r="F858" s="7"/>
      <c r="G858" s="7"/>
      <c r="H858" s="7"/>
      <c r="I858" s="8"/>
    </row>
    <row x14ac:dyDescent="0.25" r="859" customHeight="1" ht="14.25">
      <c r="A859" s="30"/>
      <c r="B859" s="30"/>
      <c r="C859" s="7"/>
      <c r="D859" s="30"/>
      <c r="E859" s="7"/>
      <c r="F859" s="7"/>
      <c r="G859" s="7"/>
      <c r="H859" s="7"/>
      <c r="I859" s="8"/>
    </row>
    <row x14ac:dyDescent="0.25" r="860" customHeight="1" ht="14.25">
      <c r="A860" s="30"/>
      <c r="B860" s="30"/>
      <c r="C860" s="7"/>
      <c r="D860" s="30"/>
      <c r="E860" s="7"/>
      <c r="F860" s="7"/>
      <c r="G860" s="7"/>
      <c r="H860" s="7"/>
      <c r="I860" s="8"/>
    </row>
    <row x14ac:dyDescent="0.25" r="861" customHeight="1" ht="14.25">
      <c r="A861" s="30"/>
      <c r="B861" s="30"/>
      <c r="C861" s="7"/>
      <c r="D861" s="30"/>
      <c r="E861" s="7"/>
      <c r="F861" s="7"/>
      <c r="G861" s="7"/>
      <c r="H861" s="7"/>
      <c r="I861" s="8"/>
    </row>
    <row x14ac:dyDescent="0.25" r="862" customHeight="1" ht="14.25">
      <c r="A862" s="30"/>
      <c r="B862" s="30"/>
      <c r="C862" s="7"/>
      <c r="D862" s="30"/>
      <c r="E862" s="7"/>
      <c r="F862" s="7"/>
      <c r="G862" s="7"/>
      <c r="H862" s="7"/>
      <c r="I862" s="8"/>
    </row>
    <row x14ac:dyDescent="0.25" r="863" customHeight="1" ht="14.25">
      <c r="A863" s="30"/>
      <c r="B863" s="30"/>
      <c r="C863" s="7"/>
      <c r="D863" s="30"/>
      <c r="E863" s="7"/>
      <c r="F863" s="7"/>
      <c r="G863" s="7"/>
      <c r="H863" s="7"/>
      <c r="I863" s="8"/>
    </row>
    <row x14ac:dyDescent="0.25" r="864" customHeight="1" ht="14.25">
      <c r="A864" s="30"/>
      <c r="B864" s="30"/>
      <c r="C864" s="7"/>
      <c r="D864" s="30"/>
      <c r="E864" s="7"/>
      <c r="F864" s="7"/>
      <c r="G864" s="7"/>
      <c r="H864" s="7"/>
      <c r="I864" s="8"/>
    </row>
    <row x14ac:dyDescent="0.25" r="865" customHeight="1" ht="14.25">
      <c r="A865" s="30"/>
      <c r="B865" s="30"/>
      <c r="C865" s="7"/>
      <c r="D865" s="30"/>
      <c r="E865" s="7"/>
      <c r="F865" s="7"/>
      <c r="G865" s="7"/>
      <c r="H865" s="7"/>
      <c r="I865" s="8"/>
    </row>
    <row x14ac:dyDescent="0.25" r="866" customHeight="1" ht="14.25">
      <c r="A866" s="30"/>
      <c r="B866" s="30"/>
      <c r="C866" s="7"/>
      <c r="D866" s="30"/>
      <c r="E866" s="7"/>
      <c r="F866" s="7"/>
      <c r="G866" s="7"/>
      <c r="H866" s="7"/>
      <c r="I866" s="8"/>
    </row>
    <row x14ac:dyDescent="0.25" r="867" customHeight="1" ht="14.25">
      <c r="A867" s="30"/>
      <c r="B867" s="30"/>
      <c r="C867" s="7"/>
      <c r="D867" s="30"/>
      <c r="E867" s="7"/>
      <c r="F867" s="7"/>
      <c r="G867" s="7"/>
      <c r="H867" s="7"/>
      <c r="I867" s="8"/>
    </row>
    <row x14ac:dyDescent="0.25" r="868" customHeight="1" ht="14.25">
      <c r="A868" s="30"/>
      <c r="B868" s="30"/>
      <c r="C868" s="7"/>
      <c r="D868" s="30"/>
      <c r="E868" s="7"/>
      <c r="F868" s="7"/>
      <c r="G868" s="7"/>
      <c r="H868" s="7"/>
      <c r="I868" s="8"/>
    </row>
    <row x14ac:dyDescent="0.25" r="869" customHeight="1" ht="14.25">
      <c r="A869" s="30"/>
      <c r="B869" s="30"/>
      <c r="C869" s="7"/>
      <c r="D869" s="30"/>
      <c r="E869" s="7"/>
      <c r="F869" s="7"/>
      <c r="G869" s="7"/>
      <c r="H869" s="7"/>
      <c r="I869" s="8"/>
    </row>
    <row x14ac:dyDescent="0.25" r="870" customHeight="1" ht="14.25">
      <c r="A870" s="30"/>
      <c r="B870" s="30"/>
      <c r="C870" s="7"/>
      <c r="D870" s="30"/>
      <c r="E870" s="7"/>
      <c r="F870" s="7"/>
      <c r="G870" s="7"/>
      <c r="H870" s="7"/>
      <c r="I870" s="8"/>
    </row>
    <row x14ac:dyDescent="0.25" r="871" customHeight="1" ht="14.25">
      <c r="A871" s="30"/>
      <c r="B871" s="30"/>
      <c r="C871" s="7"/>
      <c r="D871" s="30"/>
      <c r="E871" s="7"/>
      <c r="F871" s="7"/>
      <c r="G871" s="7"/>
      <c r="H871" s="7"/>
      <c r="I871" s="8"/>
    </row>
    <row x14ac:dyDescent="0.25" r="872" customHeight="1" ht="14.25">
      <c r="A872" s="30"/>
      <c r="B872" s="30"/>
      <c r="C872" s="7"/>
      <c r="D872" s="30"/>
      <c r="E872" s="7"/>
      <c r="F872" s="7"/>
      <c r="G872" s="7"/>
      <c r="H872" s="7"/>
      <c r="I872" s="8"/>
    </row>
    <row x14ac:dyDescent="0.25" r="873" customHeight="1" ht="14.25">
      <c r="A873" s="30"/>
      <c r="B873" s="30"/>
      <c r="C873" s="7"/>
      <c r="D873" s="30"/>
      <c r="E873" s="7"/>
      <c r="F873" s="7"/>
      <c r="G873" s="7"/>
      <c r="H873" s="7"/>
      <c r="I873" s="8"/>
    </row>
    <row x14ac:dyDescent="0.25" r="874" customHeight="1" ht="14.25">
      <c r="A874" s="30"/>
      <c r="B874" s="30"/>
      <c r="C874" s="7"/>
      <c r="D874" s="30"/>
      <c r="E874" s="7"/>
      <c r="F874" s="7"/>
      <c r="G874" s="7"/>
      <c r="H874" s="7"/>
      <c r="I874" s="8"/>
    </row>
    <row x14ac:dyDescent="0.25" r="875" customHeight="1" ht="14.25">
      <c r="A875" s="30"/>
      <c r="B875" s="30"/>
      <c r="C875" s="7"/>
      <c r="D875" s="30"/>
      <c r="E875" s="7"/>
      <c r="F875" s="7"/>
      <c r="G875" s="7"/>
      <c r="H875" s="7"/>
      <c r="I875" s="8"/>
    </row>
    <row x14ac:dyDescent="0.25" r="876" customHeight="1" ht="14.25">
      <c r="A876" s="30"/>
      <c r="B876" s="30"/>
      <c r="C876" s="7"/>
      <c r="D876" s="30"/>
      <c r="E876" s="7"/>
      <c r="F876" s="7"/>
      <c r="G876" s="7"/>
      <c r="H876" s="7"/>
      <c r="I876" s="8"/>
    </row>
    <row x14ac:dyDescent="0.25" r="877" customHeight="1" ht="14.25">
      <c r="A877" s="30"/>
      <c r="B877" s="30"/>
      <c r="C877" s="7"/>
      <c r="D877" s="30"/>
      <c r="E877" s="7"/>
      <c r="F877" s="7"/>
      <c r="G877" s="7"/>
      <c r="H877" s="7"/>
      <c r="I877" s="8"/>
    </row>
    <row x14ac:dyDescent="0.25" r="878" customHeight="1" ht="14.25">
      <c r="A878" s="30"/>
      <c r="B878" s="30"/>
      <c r="C878" s="7"/>
      <c r="D878" s="30"/>
      <c r="E878" s="7"/>
      <c r="F878" s="7"/>
      <c r="G878" s="7"/>
      <c r="H878" s="7"/>
      <c r="I878" s="8"/>
    </row>
    <row x14ac:dyDescent="0.25" r="879" customHeight="1" ht="14.25">
      <c r="A879" s="30"/>
      <c r="B879" s="30"/>
      <c r="C879" s="7"/>
      <c r="D879" s="30"/>
      <c r="E879" s="7"/>
      <c r="F879" s="7"/>
      <c r="G879" s="7"/>
      <c r="H879" s="7"/>
      <c r="I879" s="8"/>
    </row>
    <row x14ac:dyDescent="0.25" r="880" customHeight="1" ht="14.25">
      <c r="A880" s="30"/>
      <c r="B880" s="30"/>
      <c r="C880" s="7"/>
      <c r="D880" s="30"/>
      <c r="E880" s="7"/>
      <c r="F880" s="7"/>
      <c r="G880" s="7"/>
      <c r="H880" s="7"/>
      <c r="I880" s="8"/>
    </row>
    <row x14ac:dyDescent="0.25" r="881" customHeight="1" ht="14.25">
      <c r="A881" s="30"/>
      <c r="B881" s="30"/>
      <c r="C881" s="7"/>
      <c r="D881" s="30"/>
      <c r="E881" s="7"/>
      <c r="F881" s="7"/>
      <c r="G881" s="7"/>
      <c r="H881" s="7"/>
      <c r="I881" s="8"/>
    </row>
    <row x14ac:dyDescent="0.25" r="882" customHeight="1" ht="14.25">
      <c r="A882" s="30"/>
      <c r="B882" s="30"/>
      <c r="C882" s="7"/>
      <c r="D882" s="30"/>
      <c r="E882" s="7"/>
      <c r="F882" s="7"/>
      <c r="G882" s="7"/>
      <c r="H882" s="7"/>
      <c r="I882" s="8"/>
    </row>
    <row x14ac:dyDescent="0.25" r="883" customHeight="1" ht="14.25">
      <c r="A883" s="30"/>
      <c r="B883" s="30"/>
      <c r="C883" s="7"/>
      <c r="D883" s="30"/>
      <c r="E883" s="7"/>
      <c r="F883" s="7"/>
      <c r="G883" s="7"/>
      <c r="H883" s="7"/>
      <c r="I883" s="8"/>
    </row>
    <row x14ac:dyDescent="0.25" r="884" customHeight="1" ht="14.25">
      <c r="A884" s="30"/>
      <c r="B884" s="30"/>
      <c r="C884" s="7"/>
      <c r="D884" s="30"/>
      <c r="E884" s="7"/>
      <c r="F884" s="7"/>
      <c r="G884" s="7"/>
      <c r="H884" s="7"/>
      <c r="I884" s="8"/>
    </row>
    <row x14ac:dyDescent="0.25" r="885" customHeight="1" ht="14.25">
      <c r="A885" s="30"/>
      <c r="B885" s="30"/>
      <c r="C885" s="7"/>
      <c r="D885" s="30"/>
      <c r="E885" s="7"/>
      <c r="F885" s="7"/>
      <c r="G885" s="7"/>
      <c r="H885" s="7"/>
      <c r="I885" s="8"/>
    </row>
    <row x14ac:dyDescent="0.25" r="886" customHeight="1" ht="14.25">
      <c r="A886" s="30"/>
      <c r="B886" s="30"/>
      <c r="C886" s="7"/>
      <c r="D886" s="30"/>
      <c r="E886" s="7"/>
      <c r="F886" s="7"/>
      <c r="G886" s="7"/>
      <c r="H886" s="7"/>
      <c r="I886" s="8"/>
    </row>
    <row x14ac:dyDescent="0.25" r="887" customHeight="1" ht="14.25">
      <c r="A887" s="30"/>
      <c r="B887" s="30"/>
      <c r="C887" s="7"/>
      <c r="D887" s="30"/>
      <c r="E887" s="7"/>
      <c r="F887" s="7"/>
      <c r="G887" s="7"/>
      <c r="H887" s="7"/>
      <c r="I887" s="8"/>
    </row>
    <row x14ac:dyDescent="0.25" r="888" customHeight="1" ht="14.25">
      <c r="A888" s="30"/>
      <c r="B888" s="30"/>
      <c r="C888" s="7"/>
      <c r="D888" s="30"/>
      <c r="E888" s="7"/>
      <c r="F888" s="7"/>
      <c r="G888" s="7"/>
      <c r="H888" s="7"/>
      <c r="I888" s="8"/>
    </row>
    <row x14ac:dyDescent="0.25" r="889" customHeight="1" ht="14.25">
      <c r="A889" s="30"/>
      <c r="B889" s="30"/>
      <c r="C889" s="7"/>
      <c r="D889" s="30"/>
      <c r="E889" s="7"/>
      <c r="F889" s="7"/>
      <c r="G889" s="7"/>
      <c r="H889" s="7"/>
      <c r="I889" s="8"/>
    </row>
    <row x14ac:dyDescent="0.25" r="890" customHeight="1" ht="14.25">
      <c r="A890" s="30"/>
      <c r="B890" s="30"/>
      <c r="C890" s="7"/>
      <c r="D890" s="30"/>
      <c r="E890" s="7"/>
      <c r="F890" s="7"/>
      <c r="G890" s="7"/>
      <c r="H890" s="7"/>
      <c r="I890" s="8"/>
    </row>
    <row x14ac:dyDescent="0.25" r="891" customHeight="1" ht="14.25">
      <c r="A891" s="30"/>
      <c r="B891" s="30"/>
      <c r="C891" s="7"/>
      <c r="D891" s="30"/>
      <c r="E891" s="7"/>
      <c r="F891" s="7"/>
      <c r="G891" s="7"/>
      <c r="H891" s="7"/>
      <c r="I891" s="8"/>
    </row>
    <row x14ac:dyDescent="0.25" r="892" customHeight="1" ht="14.25">
      <c r="A892" s="30"/>
      <c r="B892" s="30"/>
      <c r="C892" s="7"/>
      <c r="D892" s="30"/>
      <c r="E892" s="7"/>
      <c r="F892" s="7"/>
      <c r="G892" s="7"/>
      <c r="H892" s="7"/>
      <c r="I892" s="8"/>
    </row>
    <row x14ac:dyDescent="0.25" r="893" customHeight="1" ht="14.25">
      <c r="A893" s="30"/>
      <c r="B893" s="30"/>
      <c r="C893" s="7"/>
      <c r="D893" s="30"/>
      <c r="E893" s="7"/>
      <c r="F893" s="7"/>
      <c r="G893" s="7"/>
      <c r="H893" s="7"/>
      <c r="I893" s="8"/>
    </row>
    <row x14ac:dyDescent="0.25" r="894" customHeight="1" ht="14.25">
      <c r="A894" s="30"/>
      <c r="B894" s="30"/>
      <c r="C894" s="7"/>
      <c r="D894" s="30"/>
      <c r="E894" s="7"/>
      <c r="F894" s="7"/>
      <c r="G894" s="7"/>
      <c r="H894" s="7"/>
      <c r="I894" s="8"/>
    </row>
    <row x14ac:dyDescent="0.25" r="895" customHeight="1" ht="14.25">
      <c r="A895" s="30"/>
      <c r="B895" s="30"/>
      <c r="C895" s="7"/>
      <c r="D895" s="30"/>
      <c r="E895" s="7"/>
      <c r="F895" s="7"/>
      <c r="G895" s="7"/>
      <c r="H895" s="7"/>
      <c r="I895" s="8"/>
    </row>
    <row x14ac:dyDescent="0.25" r="896" customHeight="1" ht="14.25">
      <c r="A896" s="30"/>
      <c r="B896" s="30"/>
      <c r="C896" s="7"/>
      <c r="D896" s="30"/>
      <c r="E896" s="7"/>
      <c r="F896" s="7"/>
      <c r="G896" s="7"/>
      <c r="H896" s="7"/>
      <c r="I896" s="8"/>
    </row>
    <row x14ac:dyDescent="0.25" r="897" customHeight="1" ht="14.25">
      <c r="A897" s="30"/>
      <c r="B897" s="30"/>
      <c r="C897" s="7"/>
      <c r="D897" s="30"/>
      <c r="E897" s="7"/>
      <c r="F897" s="7"/>
      <c r="G897" s="7"/>
      <c r="H897" s="7"/>
      <c r="I897" s="8"/>
    </row>
    <row x14ac:dyDescent="0.25" r="898" customHeight="1" ht="14.25">
      <c r="A898" s="30"/>
      <c r="B898" s="30"/>
      <c r="C898" s="7"/>
      <c r="D898" s="30"/>
      <c r="E898" s="7"/>
      <c r="F898" s="7"/>
      <c r="G898" s="7"/>
      <c r="H898" s="7"/>
      <c r="I898" s="8"/>
    </row>
    <row x14ac:dyDescent="0.25" r="899" customHeight="1" ht="14.25">
      <c r="A899" s="30"/>
      <c r="B899" s="30"/>
      <c r="C899" s="7"/>
      <c r="D899" s="30"/>
      <c r="E899" s="7"/>
      <c r="F899" s="7"/>
      <c r="G899" s="7"/>
      <c r="H899" s="7"/>
      <c r="I899" s="8"/>
    </row>
    <row x14ac:dyDescent="0.25" r="900" customHeight="1" ht="14.25">
      <c r="A900" s="30"/>
      <c r="B900" s="30"/>
      <c r="C900" s="7"/>
      <c r="D900" s="30"/>
      <c r="E900" s="7"/>
      <c r="F900" s="7"/>
      <c r="G900" s="7"/>
      <c r="H900" s="7"/>
      <c r="I900" s="8"/>
    </row>
    <row x14ac:dyDescent="0.25" r="901" customHeight="1" ht="14.25">
      <c r="A901" s="30"/>
      <c r="B901" s="30"/>
      <c r="C901" s="7"/>
      <c r="D901" s="30"/>
      <c r="E901" s="7"/>
      <c r="F901" s="7"/>
      <c r="G901" s="7"/>
      <c r="H901" s="7"/>
      <c r="I901" s="8"/>
    </row>
    <row x14ac:dyDescent="0.25" r="902" customHeight="1" ht="14.25">
      <c r="A902" s="30"/>
      <c r="B902" s="30"/>
      <c r="C902" s="7"/>
      <c r="D902" s="30"/>
      <c r="E902" s="7"/>
      <c r="F902" s="7"/>
      <c r="G902" s="7"/>
      <c r="H902" s="7"/>
      <c r="I902" s="8"/>
    </row>
    <row x14ac:dyDescent="0.25" r="903" customHeight="1" ht="14.25">
      <c r="A903" s="30"/>
      <c r="B903" s="30"/>
      <c r="C903" s="7"/>
      <c r="D903" s="30"/>
      <c r="E903" s="7"/>
      <c r="F903" s="7"/>
      <c r="G903" s="7"/>
      <c r="H903" s="7"/>
      <c r="I903" s="8"/>
    </row>
    <row x14ac:dyDescent="0.25" r="904" customHeight="1" ht="14.25">
      <c r="A904" s="30"/>
      <c r="B904" s="30"/>
      <c r="C904" s="7"/>
      <c r="D904" s="30"/>
      <c r="E904" s="7"/>
      <c r="F904" s="7"/>
      <c r="G904" s="7"/>
      <c r="H904" s="7"/>
      <c r="I904" s="8"/>
    </row>
    <row x14ac:dyDescent="0.25" r="905" customHeight="1" ht="14.25">
      <c r="A905" s="30"/>
      <c r="B905" s="30"/>
      <c r="C905" s="7"/>
      <c r="D905" s="30"/>
      <c r="E905" s="7"/>
      <c r="F905" s="7"/>
      <c r="G905" s="7"/>
      <c r="H905" s="7"/>
      <c r="I905" s="8"/>
    </row>
    <row x14ac:dyDescent="0.25" r="906" customHeight="1" ht="14.25">
      <c r="A906" s="30"/>
      <c r="B906" s="30"/>
      <c r="C906" s="7"/>
      <c r="D906" s="30"/>
      <c r="E906" s="7"/>
      <c r="F906" s="7"/>
      <c r="G906" s="7"/>
      <c r="H906" s="7"/>
      <c r="I906" s="8"/>
    </row>
    <row x14ac:dyDescent="0.25" r="907" customHeight="1" ht="14.25">
      <c r="A907" s="30"/>
      <c r="B907" s="30"/>
      <c r="C907" s="7"/>
      <c r="D907" s="30"/>
      <c r="E907" s="7"/>
      <c r="F907" s="7"/>
      <c r="G907" s="7"/>
      <c r="H907" s="7"/>
      <c r="I907" s="8"/>
    </row>
    <row x14ac:dyDescent="0.25" r="908" customHeight="1" ht="14.25">
      <c r="A908" s="30"/>
      <c r="B908" s="30"/>
      <c r="C908" s="7"/>
      <c r="D908" s="30"/>
      <c r="E908" s="7"/>
      <c r="F908" s="7"/>
      <c r="G908" s="7"/>
      <c r="H908" s="7"/>
      <c r="I908" s="8"/>
    </row>
    <row x14ac:dyDescent="0.25" r="909" customHeight="1" ht="14.25">
      <c r="A909" s="30"/>
      <c r="B909" s="30"/>
      <c r="C909" s="7"/>
      <c r="D909" s="30"/>
      <c r="E909" s="7"/>
      <c r="F909" s="7"/>
      <c r="G909" s="7"/>
      <c r="H909" s="7"/>
      <c r="I909" s="8"/>
    </row>
    <row x14ac:dyDescent="0.25" r="910" customHeight="1" ht="14.25">
      <c r="A910" s="30"/>
      <c r="B910" s="30"/>
      <c r="C910" s="7"/>
      <c r="D910" s="30"/>
      <c r="E910" s="7"/>
      <c r="F910" s="7"/>
      <c r="G910" s="7"/>
      <c r="H910" s="7"/>
      <c r="I910" s="8"/>
    </row>
    <row x14ac:dyDescent="0.25" r="911" customHeight="1" ht="14.25">
      <c r="A911" s="30"/>
      <c r="B911" s="30"/>
      <c r="C911" s="7"/>
      <c r="D911" s="30"/>
      <c r="E911" s="7"/>
      <c r="F911" s="7"/>
      <c r="G911" s="7"/>
      <c r="H911" s="7"/>
      <c r="I911" s="8"/>
    </row>
    <row x14ac:dyDescent="0.25" r="912" customHeight="1" ht="14.25">
      <c r="A912" s="30"/>
      <c r="B912" s="30"/>
      <c r="C912" s="7"/>
      <c r="D912" s="30"/>
      <c r="E912" s="7"/>
      <c r="F912" s="7"/>
      <c r="G912" s="7"/>
      <c r="H912" s="7"/>
      <c r="I912" s="8"/>
    </row>
    <row x14ac:dyDescent="0.25" r="913" customHeight="1" ht="14.25">
      <c r="A913" s="30"/>
      <c r="B913" s="30"/>
      <c r="C913" s="7"/>
      <c r="D913" s="30"/>
      <c r="E913" s="7"/>
      <c r="F913" s="7"/>
      <c r="G913" s="7"/>
      <c r="H913" s="7"/>
      <c r="I913" s="8"/>
    </row>
    <row x14ac:dyDescent="0.25" r="914" customHeight="1" ht="14.25">
      <c r="A914" s="30"/>
      <c r="B914" s="30"/>
      <c r="C914" s="7"/>
      <c r="D914" s="30"/>
      <c r="E914" s="7"/>
      <c r="F914" s="7"/>
      <c r="G914" s="7"/>
      <c r="H914" s="7"/>
      <c r="I914" s="8"/>
    </row>
    <row x14ac:dyDescent="0.25" r="915" customHeight="1" ht="14.25">
      <c r="A915" s="30"/>
      <c r="B915" s="30"/>
      <c r="C915" s="7"/>
      <c r="D915" s="30"/>
      <c r="E915" s="7"/>
      <c r="F915" s="7"/>
      <c r="G915" s="7"/>
      <c r="H915" s="7"/>
      <c r="I915" s="8"/>
    </row>
    <row x14ac:dyDescent="0.25" r="916" customHeight="1" ht="14.25">
      <c r="A916" s="30"/>
      <c r="B916" s="30"/>
      <c r="C916" s="7"/>
      <c r="D916" s="30"/>
      <c r="E916" s="7"/>
      <c r="F916" s="7"/>
      <c r="G916" s="7"/>
      <c r="H916" s="7"/>
      <c r="I916" s="8"/>
    </row>
    <row x14ac:dyDescent="0.25" r="917" customHeight="1" ht="14.25">
      <c r="A917" s="30"/>
      <c r="B917" s="30"/>
      <c r="C917" s="7"/>
      <c r="D917" s="30"/>
      <c r="E917" s="7"/>
      <c r="F917" s="7"/>
      <c r="G917" s="7"/>
      <c r="H917" s="7"/>
      <c r="I917" s="8"/>
    </row>
    <row x14ac:dyDescent="0.25" r="918" customHeight="1" ht="14.25">
      <c r="A918" s="30"/>
      <c r="B918" s="30"/>
      <c r="C918" s="7"/>
      <c r="D918" s="30"/>
      <c r="E918" s="7"/>
      <c r="F918" s="7"/>
      <c r="G918" s="7"/>
      <c r="H918" s="7"/>
      <c r="I918" s="8"/>
    </row>
    <row x14ac:dyDescent="0.25" r="919" customHeight="1" ht="14.25">
      <c r="A919" s="30"/>
      <c r="B919" s="30"/>
      <c r="C919" s="7"/>
      <c r="D919" s="30"/>
      <c r="E919" s="7"/>
      <c r="F919" s="7"/>
      <c r="G919" s="7"/>
      <c r="H919" s="7"/>
      <c r="I919" s="8"/>
    </row>
    <row x14ac:dyDescent="0.25" r="920" customHeight="1" ht="14.25">
      <c r="A920" s="30"/>
      <c r="B920" s="30"/>
      <c r="C920" s="7"/>
      <c r="D920" s="30"/>
      <c r="E920" s="7"/>
      <c r="F920" s="7"/>
      <c r="G920" s="7"/>
      <c r="H920" s="7"/>
      <c r="I920" s="8"/>
    </row>
    <row x14ac:dyDescent="0.25" r="921" customHeight="1" ht="14.25">
      <c r="A921" s="30"/>
      <c r="B921" s="30"/>
      <c r="C921" s="7"/>
      <c r="D921" s="30"/>
      <c r="E921" s="7"/>
      <c r="F921" s="7"/>
      <c r="G921" s="7"/>
      <c r="H921" s="7"/>
      <c r="I921" s="8"/>
    </row>
    <row x14ac:dyDescent="0.25" r="922" customHeight="1" ht="14.25">
      <c r="A922" s="30"/>
      <c r="B922" s="30"/>
      <c r="C922" s="7"/>
      <c r="D922" s="30"/>
      <c r="E922" s="7"/>
      <c r="F922" s="7"/>
      <c r="G922" s="7"/>
      <c r="H922" s="7"/>
      <c r="I922" s="8"/>
    </row>
    <row x14ac:dyDescent="0.25" r="923" customHeight="1" ht="14.25">
      <c r="A923" s="30"/>
      <c r="B923" s="30"/>
      <c r="C923" s="7"/>
      <c r="D923" s="30"/>
      <c r="E923" s="7"/>
      <c r="F923" s="7"/>
      <c r="G923" s="7"/>
      <c r="H923" s="7"/>
      <c r="I923" s="8"/>
    </row>
    <row x14ac:dyDescent="0.25" r="924" customHeight="1" ht="14.25">
      <c r="A924" s="30"/>
      <c r="B924" s="30"/>
      <c r="C924" s="7"/>
      <c r="D924" s="30"/>
      <c r="E924" s="7"/>
      <c r="F924" s="7"/>
      <c r="G924" s="7"/>
      <c r="H924" s="7"/>
      <c r="I924" s="8"/>
    </row>
    <row x14ac:dyDescent="0.25" r="925" customHeight="1" ht="14.25">
      <c r="A925" s="30"/>
      <c r="B925" s="30"/>
      <c r="C925" s="7"/>
      <c r="D925" s="30"/>
      <c r="E925" s="7"/>
      <c r="F925" s="7"/>
      <c r="G925" s="7"/>
      <c r="H925" s="7"/>
      <c r="I925" s="8"/>
    </row>
    <row x14ac:dyDescent="0.25" r="926" customHeight="1" ht="14.25">
      <c r="A926" s="30"/>
      <c r="B926" s="30"/>
      <c r="C926" s="7"/>
      <c r="D926" s="30"/>
      <c r="E926" s="7"/>
      <c r="F926" s="7"/>
      <c r="G926" s="7"/>
      <c r="H926" s="7"/>
      <c r="I926" s="8"/>
    </row>
    <row x14ac:dyDescent="0.25" r="927" customHeight="1" ht="14.25">
      <c r="A927" s="30"/>
      <c r="B927" s="30"/>
      <c r="C927" s="7"/>
      <c r="D927" s="30"/>
      <c r="E927" s="7"/>
      <c r="F927" s="7"/>
      <c r="G927" s="7"/>
      <c r="H927" s="7"/>
      <c r="I927" s="8"/>
    </row>
    <row x14ac:dyDescent="0.25" r="928" customHeight="1" ht="14.25">
      <c r="A928" s="30"/>
      <c r="B928" s="30"/>
      <c r="C928" s="7"/>
      <c r="D928" s="30"/>
      <c r="E928" s="7"/>
      <c r="F928" s="7"/>
      <c r="G928" s="7"/>
      <c r="H928" s="7"/>
      <c r="I928" s="8"/>
    </row>
    <row x14ac:dyDescent="0.25" r="929" customHeight="1" ht="14.25">
      <c r="A929" s="30"/>
      <c r="B929" s="30"/>
      <c r="C929" s="7"/>
      <c r="D929" s="30"/>
      <c r="E929" s="7"/>
      <c r="F929" s="7"/>
      <c r="G929" s="7"/>
      <c r="H929" s="7"/>
      <c r="I929" s="8"/>
    </row>
    <row x14ac:dyDescent="0.25" r="930" customHeight="1" ht="14.25">
      <c r="A930" s="30"/>
      <c r="B930" s="30"/>
      <c r="C930" s="7"/>
      <c r="D930" s="30"/>
      <c r="E930" s="7"/>
      <c r="F930" s="7"/>
      <c r="G930" s="7"/>
      <c r="H930" s="7"/>
      <c r="I930" s="8"/>
    </row>
    <row x14ac:dyDescent="0.25" r="931" customHeight="1" ht="14.25">
      <c r="A931" s="30"/>
      <c r="B931" s="30"/>
      <c r="C931" s="7"/>
      <c r="D931" s="30"/>
      <c r="E931" s="7"/>
      <c r="F931" s="7"/>
      <c r="G931" s="7"/>
      <c r="H931" s="7"/>
      <c r="I931" s="8"/>
    </row>
    <row x14ac:dyDescent="0.25" r="932" customHeight="1" ht="14.25">
      <c r="A932" s="30"/>
      <c r="B932" s="30"/>
      <c r="C932" s="7"/>
      <c r="D932" s="30"/>
      <c r="E932" s="7"/>
      <c r="F932" s="7"/>
      <c r="G932" s="7"/>
      <c r="H932" s="7"/>
      <c r="I932" s="8"/>
    </row>
    <row x14ac:dyDescent="0.25" r="933" customHeight="1" ht="14.25">
      <c r="A933" s="30"/>
      <c r="B933" s="30"/>
      <c r="C933" s="7"/>
      <c r="D933" s="30"/>
      <c r="E933" s="7"/>
      <c r="F933" s="7"/>
      <c r="G933" s="7"/>
      <c r="H933" s="7"/>
      <c r="I933" s="8"/>
    </row>
    <row x14ac:dyDescent="0.25" r="934" customHeight="1" ht="14.25">
      <c r="A934" s="30"/>
      <c r="B934" s="30"/>
      <c r="C934" s="7"/>
      <c r="D934" s="30"/>
      <c r="E934" s="7"/>
      <c r="F934" s="7"/>
      <c r="G934" s="7"/>
      <c r="H934" s="7"/>
      <c r="I934" s="8"/>
    </row>
    <row x14ac:dyDescent="0.25" r="935" customHeight="1" ht="14.25">
      <c r="A935" s="30"/>
      <c r="B935" s="30"/>
      <c r="C935" s="7"/>
      <c r="D935" s="30"/>
      <c r="E935" s="7"/>
      <c r="F935" s="7"/>
      <c r="G935" s="7"/>
      <c r="H935" s="7"/>
      <c r="I935" s="8"/>
    </row>
    <row x14ac:dyDescent="0.25" r="936" customHeight="1" ht="14.25">
      <c r="A936" s="30"/>
      <c r="B936" s="30"/>
      <c r="C936" s="7"/>
      <c r="D936" s="30"/>
      <c r="E936" s="7"/>
      <c r="F936" s="7"/>
      <c r="G936" s="7"/>
      <c r="H936" s="7"/>
      <c r="I936" s="8"/>
    </row>
    <row x14ac:dyDescent="0.25" r="937" customHeight="1" ht="14.25">
      <c r="A937" s="30"/>
      <c r="B937" s="30"/>
      <c r="C937" s="7"/>
      <c r="D937" s="30"/>
      <c r="E937" s="7"/>
      <c r="F937" s="7"/>
      <c r="G937" s="7"/>
      <c r="H937" s="7"/>
      <c r="I937" s="8"/>
    </row>
    <row x14ac:dyDescent="0.25" r="938" customHeight="1" ht="14.25">
      <c r="A938" s="30"/>
      <c r="B938" s="30"/>
      <c r="C938" s="7"/>
      <c r="D938" s="30"/>
      <c r="E938" s="7"/>
      <c r="F938" s="7"/>
      <c r="G938" s="7"/>
      <c r="H938" s="7"/>
      <c r="I938" s="8"/>
    </row>
    <row x14ac:dyDescent="0.25" r="939" customHeight="1" ht="14.25">
      <c r="A939" s="30"/>
      <c r="B939" s="30"/>
      <c r="C939" s="7"/>
      <c r="D939" s="30"/>
      <c r="E939" s="7"/>
      <c r="F939" s="7"/>
      <c r="G939" s="7"/>
      <c r="H939" s="7"/>
      <c r="I939" s="8"/>
    </row>
    <row x14ac:dyDescent="0.25" r="940" customHeight="1" ht="14.25">
      <c r="A940" s="30"/>
      <c r="B940" s="30"/>
      <c r="C940" s="7"/>
      <c r="D940" s="30"/>
      <c r="E940" s="7"/>
      <c r="F940" s="7"/>
      <c r="G940" s="7"/>
      <c r="H940" s="7"/>
      <c r="I940" s="8"/>
    </row>
    <row x14ac:dyDescent="0.25" r="941" customHeight="1" ht="14.25">
      <c r="A941" s="30"/>
      <c r="B941" s="30"/>
      <c r="C941" s="7"/>
      <c r="D941" s="30"/>
      <c r="E941" s="7"/>
      <c r="F941" s="7"/>
      <c r="G941" s="7"/>
      <c r="H941" s="7"/>
      <c r="I941" s="8"/>
    </row>
    <row x14ac:dyDescent="0.25" r="942" customHeight="1" ht="14.25">
      <c r="A942" s="30"/>
      <c r="B942" s="30"/>
      <c r="C942" s="7"/>
      <c r="D942" s="30"/>
      <c r="E942" s="7"/>
      <c r="F942" s="7"/>
      <c r="G942" s="7"/>
      <c r="H942" s="7"/>
      <c r="I942" s="8"/>
    </row>
    <row x14ac:dyDescent="0.25" r="943" customHeight="1" ht="14.25">
      <c r="A943" s="30"/>
      <c r="B943" s="30"/>
      <c r="C943" s="7"/>
      <c r="D943" s="30"/>
      <c r="E943" s="7"/>
      <c r="F943" s="7"/>
      <c r="G943" s="7"/>
      <c r="H943" s="7"/>
      <c r="I943" s="8"/>
    </row>
    <row x14ac:dyDescent="0.25" r="944" customHeight="1" ht="14.25">
      <c r="A944" s="30"/>
      <c r="B944" s="30"/>
      <c r="C944" s="7"/>
      <c r="D944" s="30"/>
      <c r="E944" s="7"/>
      <c r="F944" s="7"/>
      <c r="G944" s="7"/>
      <c r="H944" s="7"/>
      <c r="I944" s="8"/>
    </row>
    <row x14ac:dyDescent="0.25" r="945" customHeight="1" ht="14.25">
      <c r="A945" s="30"/>
      <c r="B945" s="30"/>
      <c r="C945" s="7"/>
      <c r="D945" s="30"/>
      <c r="E945" s="7"/>
      <c r="F945" s="7"/>
      <c r="G945" s="7"/>
      <c r="H945" s="7"/>
      <c r="I945" s="8"/>
    </row>
    <row x14ac:dyDescent="0.25" r="946" customHeight="1" ht="14.25">
      <c r="A946" s="30"/>
      <c r="B946" s="30"/>
      <c r="C946" s="7"/>
      <c r="D946" s="30"/>
      <c r="E946" s="7"/>
      <c r="F946" s="7"/>
      <c r="G946" s="7"/>
      <c r="H946" s="7"/>
      <c r="I946" s="8"/>
    </row>
    <row x14ac:dyDescent="0.25" r="947" customHeight="1" ht="14.25">
      <c r="A947" s="30"/>
      <c r="B947" s="30"/>
      <c r="C947" s="7"/>
      <c r="D947" s="30"/>
      <c r="E947" s="7"/>
      <c r="F947" s="7"/>
      <c r="G947" s="7"/>
      <c r="H947" s="7"/>
      <c r="I947" s="8"/>
    </row>
    <row x14ac:dyDescent="0.25" r="948" customHeight="1" ht="14.25">
      <c r="A948" s="30"/>
      <c r="B948" s="30"/>
      <c r="C948" s="7"/>
      <c r="D948" s="30"/>
      <c r="E948" s="7"/>
      <c r="F948" s="7"/>
      <c r="G948" s="7"/>
      <c r="H948" s="7"/>
      <c r="I948" s="8"/>
    </row>
    <row x14ac:dyDescent="0.25" r="949" customHeight="1" ht="14.25">
      <c r="A949" s="30"/>
      <c r="B949" s="30"/>
      <c r="C949" s="7"/>
      <c r="D949" s="30"/>
      <c r="E949" s="7"/>
      <c r="F949" s="7"/>
      <c r="G949" s="7"/>
      <c r="H949" s="7"/>
      <c r="I949" s="8"/>
    </row>
    <row x14ac:dyDescent="0.25" r="950" customHeight="1" ht="14.25">
      <c r="A950" s="30"/>
      <c r="B950" s="30"/>
      <c r="C950" s="7"/>
      <c r="D950" s="30"/>
      <c r="E950" s="7"/>
      <c r="F950" s="7"/>
      <c r="G950" s="7"/>
      <c r="H950" s="7"/>
      <c r="I950" s="8"/>
    </row>
    <row x14ac:dyDescent="0.25" r="951" customHeight="1" ht="14.25">
      <c r="A951" s="30"/>
      <c r="B951" s="30"/>
      <c r="C951" s="7"/>
      <c r="D951" s="30"/>
      <c r="E951" s="7"/>
      <c r="F951" s="7"/>
      <c r="G951" s="7"/>
      <c r="H951" s="7"/>
      <c r="I951" s="8"/>
    </row>
    <row x14ac:dyDescent="0.25" r="952" customHeight="1" ht="14.25">
      <c r="A952" s="30"/>
      <c r="B952" s="30"/>
      <c r="C952" s="7"/>
      <c r="D952" s="30"/>
      <c r="E952" s="7"/>
      <c r="F952" s="7"/>
      <c r="G952" s="7"/>
      <c r="H952" s="7"/>
      <c r="I952" s="8"/>
    </row>
    <row x14ac:dyDescent="0.25" r="953" customHeight="1" ht="14.25">
      <c r="A953" s="30"/>
      <c r="B953" s="30"/>
      <c r="C953" s="7"/>
      <c r="D953" s="30"/>
      <c r="E953" s="7"/>
      <c r="F953" s="7"/>
      <c r="G953" s="7"/>
      <c r="H953" s="7"/>
      <c r="I953" s="8"/>
    </row>
    <row x14ac:dyDescent="0.25" r="954" customHeight="1" ht="14.25">
      <c r="A954" s="30"/>
      <c r="B954" s="30"/>
      <c r="C954" s="7"/>
      <c r="D954" s="30"/>
      <c r="E954" s="7"/>
      <c r="F954" s="7"/>
      <c r="G954" s="7"/>
      <c r="H954" s="7"/>
      <c r="I954" s="8"/>
    </row>
    <row x14ac:dyDescent="0.25" r="955" customHeight="1" ht="14.25">
      <c r="A955" s="30"/>
      <c r="B955" s="30"/>
      <c r="C955" s="7"/>
      <c r="D955" s="30"/>
      <c r="E955" s="7"/>
      <c r="F955" s="7"/>
      <c r="G955" s="7"/>
      <c r="H955" s="7"/>
      <c r="I955" s="8"/>
    </row>
    <row x14ac:dyDescent="0.25" r="956" customHeight="1" ht="14.25">
      <c r="A956" s="30"/>
      <c r="B956" s="30"/>
      <c r="C956" s="7"/>
      <c r="D956" s="30"/>
      <c r="E956" s="7"/>
      <c r="F956" s="7"/>
      <c r="G956" s="7"/>
      <c r="H956" s="7"/>
      <c r="I956" s="8"/>
    </row>
    <row x14ac:dyDescent="0.25" r="957" customHeight="1" ht="14.25">
      <c r="A957" s="30"/>
      <c r="B957" s="30"/>
      <c r="C957" s="7"/>
      <c r="D957" s="30"/>
      <c r="E957" s="7"/>
      <c r="F957" s="7"/>
      <c r="G957" s="7"/>
      <c r="H957" s="7"/>
      <c r="I957" s="8"/>
    </row>
    <row x14ac:dyDescent="0.25" r="958" customHeight="1" ht="14.25">
      <c r="A958" s="30"/>
      <c r="B958" s="30"/>
      <c r="C958" s="7"/>
      <c r="D958" s="30"/>
      <c r="E958" s="7"/>
      <c r="F958" s="7"/>
      <c r="G958" s="7"/>
      <c r="H958" s="7"/>
      <c r="I958" s="8"/>
    </row>
    <row x14ac:dyDescent="0.25" r="959" customHeight="1" ht="14.25">
      <c r="A959" s="30"/>
      <c r="B959" s="30"/>
      <c r="C959" s="7"/>
      <c r="D959" s="30"/>
      <c r="E959" s="7"/>
      <c r="F959" s="7"/>
      <c r="G959" s="7"/>
      <c r="H959" s="7"/>
      <c r="I959" s="8"/>
    </row>
    <row x14ac:dyDescent="0.25" r="960" customHeight="1" ht="14.25">
      <c r="A960" s="30"/>
      <c r="B960" s="30"/>
      <c r="C960" s="7"/>
      <c r="D960" s="30"/>
      <c r="E960" s="7"/>
      <c r="F960" s="7"/>
      <c r="G960" s="7"/>
      <c r="H960" s="7"/>
      <c r="I960" s="8"/>
    </row>
    <row x14ac:dyDescent="0.25" r="961" customHeight="1" ht="14.25">
      <c r="A961" s="30"/>
      <c r="B961" s="30"/>
      <c r="C961" s="7"/>
      <c r="D961" s="30"/>
      <c r="E961" s="7"/>
      <c r="F961" s="7"/>
      <c r="G961" s="7"/>
      <c r="H961" s="7"/>
      <c r="I961" s="8"/>
    </row>
    <row x14ac:dyDescent="0.25" r="962" customHeight="1" ht="14.25">
      <c r="A962" s="30"/>
      <c r="B962" s="30"/>
      <c r="C962" s="7"/>
      <c r="D962" s="30"/>
      <c r="E962" s="7"/>
      <c r="F962" s="7"/>
      <c r="G962" s="7"/>
      <c r="H962" s="7"/>
      <c r="I962" s="8"/>
    </row>
    <row x14ac:dyDescent="0.25" r="963" customHeight="1" ht="14.25">
      <c r="A963" s="30"/>
      <c r="B963" s="30"/>
      <c r="C963" s="7"/>
      <c r="D963" s="30"/>
      <c r="E963" s="7"/>
      <c r="F963" s="7"/>
      <c r="G963" s="7"/>
      <c r="H963" s="7"/>
      <c r="I963" s="8"/>
    </row>
    <row x14ac:dyDescent="0.25" r="964" customHeight="1" ht="14.25">
      <c r="A964" s="30"/>
      <c r="B964" s="30"/>
      <c r="C964" s="7"/>
      <c r="D964" s="30"/>
      <c r="E964" s="7"/>
      <c r="F964" s="7"/>
      <c r="G964" s="7"/>
      <c r="H964" s="7"/>
      <c r="I964" s="8"/>
    </row>
    <row x14ac:dyDescent="0.25" r="965" customHeight="1" ht="14.25">
      <c r="A965" s="30"/>
      <c r="B965" s="30"/>
      <c r="C965" s="7"/>
      <c r="D965" s="30"/>
      <c r="E965" s="7"/>
      <c r="F965" s="7"/>
      <c r="G965" s="7"/>
      <c r="H965" s="7"/>
      <c r="I965" s="8"/>
    </row>
    <row x14ac:dyDescent="0.25" r="966" customHeight="1" ht="14.25">
      <c r="A966" s="30"/>
      <c r="B966" s="30"/>
      <c r="C966" s="7"/>
      <c r="D966" s="30"/>
      <c r="E966" s="7"/>
      <c r="F966" s="7"/>
      <c r="G966" s="7"/>
      <c r="H966" s="7"/>
      <c r="I966" s="8"/>
    </row>
    <row x14ac:dyDescent="0.25" r="967" customHeight="1" ht="14.25">
      <c r="A967" s="30"/>
      <c r="B967" s="30"/>
      <c r="C967" s="7"/>
      <c r="D967" s="30"/>
      <c r="E967" s="7"/>
      <c r="F967" s="7"/>
      <c r="G967" s="7"/>
      <c r="H967" s="7"/>
      <c r="I967" s="8"/>
    </row>
    <row x14ac:dyDescent="0.25" r="968" customHeight="1" ht="14.25">
      <c r="A968" s="30"/>
      <c r="B968" s="30"/>
      <c r="C968" s="7"/>
      <c r="D968" s="30"/>
      <c r="E968" s="7"/>
      <c r="F968" s="7"/>
      <c r="G968" s="7"/>
      <c r="H968" s="7"/>
      <c r="I968" s="8"/>
    </row>
    <row x14ac:dyDescent="0.25" r="969" customHeight="1" ht="14.25">
      <c r="A969" s="30"/>
      <c r="B969" s="30"/>
      <c r="C969" s="7"/>
      <c r="D969" s="30"/>
      <c r="E969" s="7"/>
      <c r="F969" s="7"/>
      <c r="G969" s="7"/>
      <c r="H969" s="7"/>
      <c r="I969" s="8"/>
    </row>
    <row x14ac:dyDescent="0.25" r="970" customHeight="1" ht="14.25">
      <c r="A970" s="30"/>
      <c r="B970" s="30"/>
      <c r="C970" s="7"/>
      <c r="D970" s="30"/>
      <c r="E970" s="7"/>
      <c r="F970" s="7"/>
      <c r="G970" s="7"/>
      <c r="H970" s="7"/>
      <c r="I970" s="8"/>
    </row>
    <row x14ac:dyDescent="0.25" r="971" customHeight="1" ht="14.25">
      <c r="A971" s="30"/>
      <c r="B971" s="30"/>
      <c r="C971" s="7"/>
      <c r="D971" s="30"/>
      <c r="E971" s="7"/>
      <c r="F971" s="7"/>
      <c r="G971" s="7"/>
      <c r="H971" s="7"/>
      <c r="I971" s="8"/>
    </row>
    <row x14ac:dyDescent="0.25" r="972" customHeight="1" ht="14.25">
      <c r="A972" s="30"/>
      <c r="B972" s="30"/>
      <c r="C972" s="7"/>
      <c r="D972" s="30"/>
      <c r="E972" s="7"/>
      <c r="F972" s="7"/>
      <c r="G972" s="7"/>
      <c r="H972" s="7"/>
      <c r="I972" s="8"/>
    </row>
    <row x14ac:dyDescent="0.25" r="973" customHeight="1" ht="14.25">
      <c r="A973" s="30"/>
      <c r="B973" s="30"/>
      <c r="C973" s="7"/>
      <c r="D973" s="30"/>
      <c r="E973" s="7"/>
      <c r="F973" s="7"/>
      <c r="G973" s="7"/>
      <c r="H973" s="7"/>
      <c r="I973" s="8"/>
    </row>
    <row x14ac:dyDescent="0.25" r="974" customHeight="1" ht="14.25">
      <c r="A974" s="30"/>
      <c r="B974" s="30"/>
      <c r="C974" s="7"/>
      <c r="D974" s="30"/>
      <c r="E974" s="7"/>
      <c r="F974" s="7"/>
      <c r="G974" s="7"/>
      <c r="H974" s="7"/>
      <c r="I974" s="8"/>
    </row>
    <row x14ac:dyDescent="0.25" r="975" customHeight="1" ht="14.25">
      <c r="A975" s="30"/>
      <c r="B975" s="30"/>
      <c r="C975" s="7"/>
      <c r="D975" s="30"/>
      <c r="E975" s="7"/>
      <c r="F975" s="7"/>
      <c r="G975" s="7"/>
      <c r="H975" s="7"/>
      <c r="I975" s="8"/>
    </row>
    <row x14ac:dyDescent="0.25" r="976" customHeight="1" ht="14.25">
      <c r="A976" s="30"/>
      <c r="B976" s="30"/>
      <c r="C976" s="7"/>
      <c r="D976" s="30"/>
      <c r="E976" s="7"/>
      <c r="F976" s="7"/>
      <c r="G976" s="7"/>
      <c r="H976" s="7"/>
      <c r="I976" s="8"/>
    </row>
    <row x14ac:dyDescent="0.25" r="977" customHeight="1" ht="14.25">
      <c r="A977" s="30"/>
      <c r="B977" s="30"/>
      <c r="C977" s="7"/>
      <c r="D977" s="30"/>
      <c r="E977" s="7"/>
      <c r="F977" s="7"/>
      <c r="G977" s="7"/>
      <c r="H977" s="7"/>
      <c r="I977" s="8"/>
    </row>
    <row x14ac:dyDescent="0.25" r="978" customHeight="1" ht="14.25">
      <c r="A978" s="30"/>
      <c r="B978" s="30"/>
      <c r="C978" s="7"/>
      <c r="D978" s="30"/>
      <c r="E978" s="7"/>
      <c r="F978" s="7"/>
      <c r="G978" s="7"/>
      <c r="H978" s="7"/>
      <c r="I978" s="8"/>
    </row>
    <row x14ac:dyDescent="0.25" r="979" customHeight="1" ht="14.25">
      <c r="A979" s="30"/>
      <c r="B979" s="30"/>
      <c r="C979" s="7"/>
      <c r="D979" s="30"/>
      <c r="E979" s="7"/>
      <c r="F979" s="7"/>
      <c r="G979" s="7"/>
      <c r="H979" s="7"/>
      <c r="I979" s="8"/>
    </row>
    <row x14ac:dyDescent="0.25" r="980" customHeight="1" ht="14.25">
      <c r="A980" s="30"/>
      <c r="B980" s="30"/>
      <c r="C980" s="7"/>
      <c r="D980" s="30"/>
      <c r="E980" s="7"/>
      <c r="F980" s="7"/>
      <c r="G980" s="7"/>
      <c r="H980" s="7"/>
      <c r="I980" s="8"/>
    </row>
    <row x14ac:dyDescent="0.25" r="981" customHeight="1" ht="14.25">
      <c r="A981" s="30"/>
      <c r="B981" s="30"/>
      <c r="C981" s="7"/>
      <c r="D981" s="30"/>
      <c r="E981" s="7"/>
      <c r="F981" s="7"/>
      <c r="G981" s="7"/>
      <c r="H981" s="7"/>
      <c r="I981" s="8"/>
    </row>
    <row x14ac:dyDescent="0.25" r="982" customHeight="1" ht="14.25">
      <c r="A982" s="30"/>
      <c r="B982" s="30"/>
      <c r="C982" s="7"/>
      <c r="D982" s="30"/>
      <c r="E982" s="7"/>
      <c r="F982" s="7"/>
      <c r="G982" s="7"/>
      <c r="H982" s="7"/>
      <c r="I982" s="8"/>
    </row>
    <row x14ac:dyDescent="0.25" r="983" customHeight="1" ht="14.25">
      <c r="A983" s="30"/>
      <c r="B983" s="30"/>
      <c r="C983" s="7"/>
      <c r="D983" s="30"/>
      <c r="E983" s="7"/>
      <c r="F983" s="7"/>
      <c r="G983" s="7"/>
      <c r="H983" s="7"/>
      <c r="I983" s="8"/>
    </row>
    <row x14ac:dyDescent="0.25" r="984" customHeight="1" ht="14.25">
      <c r="A984" s="30"/>
      <c r="B984" s="30"/>
      <c r="C984" s="7"/>
      <c r="D984" s="30"/>
      <c r="E984" s="7"/>
      <c r="F984" s="7"/>
      <c r="G984" s="7"/>
      <c r="H984" s="7"/>
      <c r="I984" s="8"/>
    </row>
    <row x14ac:dyDescent="0.25" r="985" customHeight="1" ht="14.25">
      <c r="A985" s="30"/>
      <c r="B985" s="30"/>
      <c r="C985" s="7"/>
      <c r="D985" s="30"/>
      <c r="E985" s="7"/>
      <c r="F985" s="7"/>
      <c r="G985" s="7"/>
      <c r="H985" s="7"/>
      <c r="I985" s="8"/>
    </row>
    <row x14ac:dyDescent="0.25" r="986" customHeight="1" ht="14.25">
      <c r="A986" s="30"/>
      <c r="B986" s="30"/>
      <c r="C986" s="7"/>
      <c r="D986" s="30"/>
      <c r="E986" s="7"/>
      <c r="F986" s="7"/>
      <c r="G986" s="7"/>
      <c r="H986" s="7"/>
      <c r="I986" s="8"/>
    </row>
    <row x14ac:dyDescent="0.25" r="987" customHeight="1" ht="14.25">
      <c r="A987" s="30"/>
      <c r="B987" s="30"/>
      <c r="C987" s="7"/>
      <c r="D987" s="30"/>
      <c r="E987" s="7"/>
      <c r="F987" s="7"/>
      <c r="G987" s="7"/>
      <c r="H987" s="7"/>
      <c r="I987" s="8"/>
    </row>
    <row x14ac:dyDescent="0.25" r="988" customHeight="1" ht="14.25">
      <c r="A988" s="30"/>
      <c r="B988" s="30"/>
      <c r="C988" s="7"/>
      <c r="D988" s="30"/>
      <c r="E988" s="7"/>
      <c r="F988" s="7"/>
      <c r="G988" s="7"/>
      <c r="H988" s="7"/>
      <c r="I988" s="8"/>
    </row>
    <row x14ac:dyDescent="0.25" r="989" customHeight="1" ht="14.25">
      <c r="A989" s="30"/>
      <c r="B989" s="30"/>
      <c r="C989" s="7"/>
      <c r="D989" s="30"/>
      <c r="E989" s="7"/>
      <c r="F989" s="7"/>
      <c r="G989" s="7"/>
      <c r="H989" s="7"/>
      <c r="I989" s="8"/>
    </row>
    <row x14ac:dyDescent="0.25" r="990" customHeight="1" ht="14.25">
      <c r="A990" s="30"/>
      <c r="B990" s="30"/>
      <c r="C990" s="7"/>
      <c r="D990" s="30"/>
      <c r="E990" s="7"/>
      <c r="F990" s="7"/>
      <c r="G990" s="7"/>
      <c r="H990" s="7"/>
      <c r="I990" s="8"/>
    </row>
    <row x14ac:dyDescent="0.25" r="991" customHeight="1" ht="14.25">
      <c r="A991" s="30"/>
      <c r="B991" s="30"/>
      <c r="C991" s="7"/>
      <c r="D991" s="30"/>
      <c r="E991" s="7"/>
      <c r="F991" s="7"/>
      <c r="G991" s="7"/>
      <c r="H991" s="7"/>
      <c r="I991" s="8"/>
    </row>
  </sheetData>
  <mergeCells count="3">
    <mergeCell ref="A1:C2"/>
    <mergeCell ref="A3:B3"/>
    <mergeCell ref="A44:C4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Chemical Eng.</vt:lpstr>
      <vt:lpstr>Oil &amp;amp; Gas  Eng.</vt:lpstr>
      <vt:lpstr>Geophysical Eng.</vt:lpstr>
      <vt:lpstr>Computer science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2023-12-29T21:16:30.068Z</dcterms:created>
  <dcterms:modified xsi:type="dcterms:W3CDTF">2023-12-29T21:16:30.068Z</dcterms:modified>
</cp:coreProperties>
</file>