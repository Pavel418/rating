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-108" yWindow="-108" windowWidth="23256" windowHeight="12456" tabRatio="500" activeTab="3"/>
  </bookViews>
  <sheets>
    <sheet name="Chemical Eng." sheetId="1" r:id="rId1"/>
    <sheet name="Oil &amp; Gas  Eng." sheetId="2" r:id="rId2"/>
    <sheet name="Geophysical Eng." sheetId="3" r:id="rId3"/>
    <sheet name="Computer science" sheetId="4" r:id="rId4"/>
  </sheets>
  <calcPr calcId="152511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H46" i="4" l="1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8" i="4" s="1"/>
  <c r="H39" i="3"/>
  <c r="H37" i="3"/>
  <c r="H36" i="3"/>
  <c r="H35" i="3"/>
  <c r="H34" i="3"/>
  <c r="H33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2" i="2"/>
  <c r="H39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5" i="1"/>
  <c r="H44" i="1"/>
  <c r="H43" i="1"/>
  <c r="H42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7" i="1" s="1"/>
  <c r="E6" i="4" l="1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5" i="4"/>
  <c r="E46" i="4"/>
  <c r="E5" i="4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3" i="3"/>
  <c r="E34" i="3"/>
  <c r="E35" i="3"/>
  <c r="E36" i="3"/>
  <c r="E37" i="3"/>
  <c r="E5" i="3"/>
  <c r="E39" i="2"/>
  <c r="E40" i="2"/>
  <c r="E38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5" i="2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2" i="1"/>
  <c r="E43" i="1"/>
  <c r="E44" i="1"/>
  <c r="E45" i="1"/>
  <c r="E5" i="1"/>
  <c r="F41" i="2"/>
  <c r="F38" i="3"/>
  <c r="F47" i="4"/>
</calcChain>
</file>

<file path=xl/sharedStrings.xml><?xml version="1.0" encoding="utf-8"?>
<sst xmlns="http://schemas.openxmlformats.org/spreadsheetml/2006/main" count="57" uniqueCount="27">
  <si>
    <t>Academic Year 2023/2024</t>
  </si>
  <si>
    <t>L1 Option: Chemical engineering CE-022</t>
  </si>
  <si>
    <t>S.No.</t>
  </si>
  <si>
    <t>Student ID</t>
  </si>
  <si>
    <t>Doubling L1 students</t>
  </si>
  <si>
    <t>L1 Option: Oil and Gas Engineering</t>
  </si>
  <si>
    <t>Dobling L1 students</t>
  </si>
  <si>
    <t>L1 Option: Geological and
Geophysical engineering</t>
  </si>
  <si>
    <t>L1 Option: Computer science</t>
  </si>
  <si>
    <t>ab</t>
  </si>
  <si>
    <t>Participation by GG</t>
  </si>
  <si>
    <t>Participation by AD</t>
  </si>
  <si>
    <t>Participation total</t>
  </si>
  <si>
    <t>Exam by AD</t>
  </si>
  <si>
    <t>Exam Final</t>
  </si>
  <si>
    <t>Exam final</t>
  </si>
  <si>
    <t>participation by GG</t>
  </si>
  <si>
    <t>participation by AD</t>
  </si>
  <si>
    <t>Participation Total</t>
  </si>
  <si>
    <t>Exam by GG</t>
  </si>
  <si>
    <t xml:space="preserve">Participation total </t>
  </si>
  <si>
    <t xml:space="preserve">Participation by GG </t>
  </si>
  <si>
    <t>participation total</t>
  </si>
  <si>
    <t xml:space="preserve">Exam by AD </t>
  </si>
  <si>
    <t>Average</t>
  </si>
  <si>
    <t>Point Mechanics Final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</si>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</sst>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3" x14ac:knownFonts="1">
    <font>
      <sz val="11"/>
      <color theme="1"/>
      <name val="Calibri"/>
      <charset val="1"/>
    </font>
    <font>
      <b/>
      <sz val="12"/>
      <color theme="1"/>
      <name val="Calibri"/>
      <charset val="1"/>
    </font>
    <font>
      <sz val="12"/>
      <color theme="1"/>
      <name val="Calibri"/>
      <charset val="1"/>
    </font>
    <font>
      <sz val="10"/>
      <color theme="1"/>
      <name val="Calibri"/>
      <charset val="1"/>
    </font>
    <font>
      <b/>
      <sz val="12"/>
      <color rgb="FF000000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sz val="12"/>
      <name val="Calibri"/>
      <family val="2"/>
    </font>
    <font>
      <sz val="10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2"/>
      <color rgb="FF000000"/>
      <name val="Calibri"/>
      <family val="2"/>
    </font>
    <font>
      <b/>
      <sz val="18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/>
    <xf numFmtId="0" fontId="3" fillId="0" borderId="1" xfId="0" applyFont="1" applyBorder="1"/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vertical="top" wrapText="1"/>
    </xf>
    <xf numFmtId="0" fontId="2" fillId="0" borderId="5" xfId="0" applyFont="1" applyBorder="1"/>
    <xf numFmtId="0" fontId="2" fillId="0" borderId="6" xfId="0" applyFont="1" applyBorder="1"/>
    <xf numFmtId="0" fontId="2" fillId="0" borderId="4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2" fontId="0" fillId="0" borderId="0" xfId="0" applyNumberFormat="1"/>
    <xf numFmtId="2" fontId="2" fillId="0" borderId="0" xfId="0" applyNumberFormat="1" applyFont="1" applyAlignment="1">
      <alignment vertical="center"/>
    </xf>
    <xf numFmtId="2" fontId="2" fillId="0" borderId="1" xfId="0" applyNumberFormat="1" applyFont="1" applyBorder="1" applyAlignment="1">
      <alignment vertical="center"/>
    </xf>
    <xf numFmtId="2" fontId="0" fillId="0" borderId="1" xfId="0" applyNumberFormat="1" applyBorder="1"/>
    <xf numFmtId="0" fontId="4" fillId="0" borderId="1" xfId="0" applyFont="1" applyBorder="1" applyAlignment="1">
      <alignment horizontal="center" vertical="center" wrapText="1"/>
    </xf>
    <xf numFmtId="2" fontId="2" fillId="0" borderId="0" xfId="0" applyNumberFormat="1" applyFont="1"/>
    <xf numFmtId="2" fontId="5" fillId="0" borderId="1" xfId="0" applyNumberFormat="1" applyFont="1" applyBorder="1"/>
    <xf numFmtId="2" fontId="2" fillId="0" borderId="1" xfId="0" applyNumberFormat="1" applyFont="1" applyBorder="1"/>
    <xf numFmtId="0" fontId="4" fillId="0" borderId="2" xfId="0" applyFont="1" applyBorder="1" applyAlignment="1">
      <alignment horizontal="center" vertical="center" wrapText="1"/>
    </xf>
    <xf numFmtId="2" fontId="6" fillId="0" borderId="1" xfId="0" applyNumberFormat="1" applyFont="1" applyBorder="1"/>
    <xf numFmtId="0" fontId="7" fillId="0" borderId="1" xfId="0" applyFont="1" applyBorder="1"/>
    <xf numFmtId="0" fontId="5" fillId="0" borderId="1" xfId="0" applyFont="1" applyBorder="1" applyAlignment="1">
      <alignment vertical="center"/>
    </xf>
    <xf numFmtId="0" fontId="8" fillId="0" borderId="1" xfId="0" applyFont="1" applyBorder="1"/>
    <xf numFmtId="0" fontId="5" fillId="0" borderId="1" xfId="0" applyFont="1" applyBorder="1"/>
    <xf numFmtId="0" fontId="5" fillId="0" borderId="0" xfId="0" applyFont="1" applyAlignment="1">
      <alignment vertical="center"/>
    </xf>
    <xf numFmtId="164" fontId="0" fillId="0" borderId="1" xfId="0" applyNumberFormat="1" applyBorder="1"/>
    <xf numFmtId="164" fontId="2" fillId="0" borderId="1" xfId="0" applyNumberFormat="1" applyFont="1" applyBorder="1" applyAlignment="1">
      <alignment vertical="center"/>
    </xf>
    <xf numFmtId="164" fontId="2" fillId="0" borderId="0" xfId="0" applyNumberFormat="1" applyFont="1" applyAlignment="1">
      <alignment vertical="center"/>
    </xf>
    <xf numFmtId="164" fontId="0" fillId="0" borderId="0" xfId="0" applyNumberFormat="1"/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/>
    <xf numFmtId="164" fontId="10" fillId="0" borderId="1" xfId="0" applyNumberFormat="1" applyFont="1" applyBorder="1" applyAlignment="1">
      <alignment vertical="center"/>
    </xf>
    <xf numFmtId="164" fontId="10" fillId="0" borderId="0" xfId="0" applyNumberFormat="1" applyFont="1" applyAlignment="1">
      <alignment vertical="center"/>
    </xf>
    <xf numFmtId="164" fontId="9" fillId="0" borderId="0" xfId="0" applyNumberFormat="1" applyFont="1"/>
    <xf numFmtId="0" fontId="1" fillId="0" borderId="0" xfId="0" applyFont="1" applyAlignment="1">
      <alignment horizontal="center" vertical="center"/>
    </xf>
    <xf numFmtId="0" fontId="6" fillId="0" borderId="1" xfId="0" applyFont="1" applyBorder="1"/>
    <xf numFmtId="0" fontId="6" fillId="0" borderId="0" xfId="0" applyFont="1"/>
    <xf numFmtId="0" fontId="11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10" fillId="0" borderId="1" xfId="0" applyFont="1" applyBorder="1" applyAlignment="1">
      <alignment vertical="center" wrapText="1"/>
    </xf>
    <xf numFmtId="0" fontId="10" fillId="0" borderId="1" xfId="0" applyFont="1" applyBorder="1"/>
    <xf numFmtId="0" fontId="10" fillId="0" borderId="1" xfId="0" applyFont="1" applyBorder="1" applyAlignment="1">
      <alignment horizontal="center"/>
    </xf>
    <xf numFmtId="0" fontId="9" fillId="0" borderId="0" xfId="0" applyFont="1"/>
    <xf numFmtId="0" fontId="9" fillId="0" borderId="1" xfId="0" applyFont="1" applyBorder="1"/>
    <xf numFmtId="0" fontId="10" fillId="0" borderId="1" xfId="0" applyFont="1" applyBorder="1" applyAlignment="1">
      <alignment vertical="center"/>
    </xf>
    <xf numFmtId="0" fontId="11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vertical="top" wrapText="1"/>
    </xf>
    <xf numFmtId="0" fontId="10" fillId="0" borderId="0" xfId="0" applyFont="1" applyAlignment="1">
      <alignment vertical="center"/>
    </xf>
    <xf numFmtId="164" fontId="12" fillId="0" borderId="1" xfId="0" applyNumberFormat="1" applyFont="1" applyBorder="1" applyAlignment="1">
      <alignment vertical="center"/>
    </xf>
    <xf numFmtId="2" fontId="9" fillId="0" borderId="1" xfId="0" applyNumberFormat="1" applyFont="1" applyBorder="1"/>
    <xf numFmtId="0" fontId="2" fillId="0" borderId="1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 wrapText="1"/>
    </xf>
    <xf numFmtId="0" fontId="2" fillId="0" borderId="1" xfId="0" applyFont="1" applyFill="1" applyBorder="1"/>
    <xf numFmtId="164" fontId="2" fillId="0" borderId="1" xfId="0" applyNumberFormat="1" applyFont="1" applyFill="1" applyBorder="1" applyAlignment="1">
      <alignment vertical="center"/>
    </xf>
    <xf numFmtId="164" fontId="10" fillId="0" borderId="1" xfId="0" applyNumberFormat="1" applyFont="1" applyFill="1" applyBorder="1" applyAlignment="1">
      <alignment vertical="center"/>
    </xf>
    <xf numFmtId="0" fontId="5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10" fillId="0" borderId="1" xfId="0" applyFont="1" applyFill="1" applyBorder="1" applyAlignment="1">
      <alignment vertical="center"/>
    </xf>
    <xf numFmtId="0" fontId="2" fillId="0" borderId="0" xfId="0" applyFont="1" applyFill="1" applyAlignment="1">
      <alignment vertical="center"/>
    </xf>
    <xf numFmtId="0" fontId="0" fillId="0" borderId="0" xfId="0" applyFill="1"/>
    <xf numFmtId="0" fontId="2" fillId="0" borderId="4" xfId="0" applyFont="1" applyFill="1" applyBorder="1" applyAlignment="1">
      <alignment horizontal="center" wrapText="1"/>
    </xf>
    <xf numFmtId="0" fontId="10" fillId="0" borderId="1" xfId="0" applyFont="1" applyFill="1" applyBorder="1"/>
    <xf numFmtId="2" fontId="0" fillId="0" borderId="1" xfId="0" applyNumberFormat="1" applyFill="1" applyBorder="1"/>
    <xf numFmtId="0" fontId="0" fillId="0" borderId="1" xfId="0" applyFill="1" applyBorder="1"/>
    <xf numFmtId="2" fontId="9" fillId="0" borderId="1" xfId="0" applyNumberFormat="1" applyFont="1" applyFill="1" applyBorder="1"/>
    <xf numFmtId="2" fontId="9" fillId="0" borderId="0" xfId="0" applyNumberFormat="1" applyFont="1"/>
    <xf numFmtId="0" fontId="2" fillId="0" borderId="6" xfId="0" applyFont="1" applyFill="1" applyBorder="1"/>
    <xf numFmtId="2" fontId="2" fillId="0" borderId="1" xfId="0" applyNumberFormat="1" applyFont="1" applyFill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998"/>
  <sheetViews>
    <sheetView zoomScale="90" zoomScaleNormal="90" workbookViewId="0">
      <selection activeCell="C4" sqref="C1:C1048576"/>
    </sheetView>
  </sheetViews>
  <sheetFormatPr defaultColWidth="14.44140625" defaultRowHeight="14.4" x14ac:dyDescent="0.3"/>
  <cols>
    <col min="1" max="1" width="7.109375" customWidth="1"/>
    <col min="2" max="2" width="18.44140625" customWidth="1"/>
    <col min="3" max="3" width="19.5546875" style="39" customWidth="1"/>
    <col min="4" max="4" width="20.33203125" style="39" customWidth="1"/>
    <col min="5" max="5" width="20.33203125" style="44" customWidth="1"/>
    <col min="6" max="6" width="17.21875" customWidth="1"/>
    <col min="7" max="7" width="13.77734375" customWidth="1"/>
    <col min="8" max="8" width="14.5546875" style="56" customWidth="1"/>
    <col min="9" max="24" width="9.88671875" customWidth="1"/>
  </cols>
  <sheetData>
    <row r="1" spans="1:23" ht="18.75" customHeight="1" x14ac:dyDescent="0.3">
      <c r="A1" s="82" t="s">
        <v>0</v>
      </c>
      <c r="B1" s="82"/>
      <c r="C1" s="36"/>
      <c r="D1" s="36"/>
      <c r="E1" s="41"/>
      <c r="F1" s="32"/>
      <c r="G1" s="5"/>
      <c r="H1" s="61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spans="1:23" ht="16.5" customHeight="1" x14ac:dyDescent="0.3">
      <c r="A2" s="82"/>
      <c r="B2" s="82"/>
      <c r="C2" s="62" t="s">
        <v>25</v>
      </c>
      <c r="D2" s="37"/>
      <c r="E2" s="42"/>
      <c r="F2" s="32"/>
      <c r="G2" s="5"/>
      <c r="H2" s="61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</row>
    <row r="3" spans="1:23" ht="31.5" customHeight="1" x14ac:dyDescent="0.3">
      <c r="A3" s="83" t="s">
        <v>1</v>
      </c>
      <c r="B3" s="83"/>
      <c r="C3" s="37"/>
      <c r="D3" s="37"/>
      <c r="E3" s="42"/>
      <c r="F3" s="32"/>
      <c r="G3" s="5"/>
      <c r="H3" s="61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</row>
    <row r="4" spans="1:23" ht="34.200000000000003" customHeight="1" x14ac:dyDescent="0.3">
      <c r="A4" s="1" t="s">
        <v>2</v>
      </c>
      <c r="B4" s="1" t="s">
        <v>3</v>
      </c>
      <c r="C4" s="40" t="s">
        <v>10</v>
      </c>
      <c r="D4" s="40" t="s">
        <v>11</v>
      </c>
      <c r="E4" s="42" t="s">
        <v>12</v>
      </c>
      <c r="F4" s="32" t="s">
        <v>19</v>
      </c>
      <c r="G4" s="32" t="s">
        <v>13</v>
      </c>
      <c r="H4" s="58" t="s">
        <v>15</v>
      </c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</row>
    <row r="5" spans="1:23" ht="16.5" customHeight="1" x14ac:dyDescent="0.3">
      <c r="A5" s="6">
        <v>1</v>
      </c>
      <c r="B5" s="7">
        <v>22222005</v>
      </c>
      <c r="C5" s="37">
        <v>5.8333333333333304</v>
      </c>
      <c r="D5" s="37">
        <v>5.5</v>
      </c>
      <c r="E5" s="42">
        <f>C5+D5</f>
        <v>11.33333333333333</v>
      </c>
      <c r="F5" s="32">
        <v>5.5</v>
      </c>
      <c r="G5" s="4">
        <v>6.25</v>
      </c>
      <c r="H5" s="58">
        <f>F5+G5</f>
        <v>11.75</v>
      </c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</row>
    <row r="6" spans="1:23" ht="16.5" customHeight="1" x14ac:dyDescent="0.3">
      <c r="A6" s="6">
        <v>2</v>
      </c>
      <c r="B6" s="7">
        <v>22222039</v>
      </c>
      <c r="C6" s="37">
        <v>1.3333333333333299</v>
      </c>
      <c r="D6" s="37">
        <v>2.5</v>
      </c>
      <c r="E6" s="42">
        <f t="shared" ref="E6:E45" si="0">C6+D6</f>
        <v>3.8333333333333299</v>
      </c>
      <c r="F6" s="32">
        <v>4.25</v>
      </c>
      <c r="G6" s="4">
        <v>2</v>
      </c>
      <c r="H6" s="58">
        <f t="shared" ref="H6:H45" si="1">F6+G6</f>
        <v>6.25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</row>
    <row r="7" spans="1:23" ht="16.5" customHeight="1" x14ac:dyDescent="0.3">
      <c r="A7" s="6">
        <v>3</v>
      </c>
      <c r="B7" s="7">
        <v>22222037</v>
      </c>
      <c r="C7" s="37">
        <v>2.8333333333333299</v>
      </c>
      <c r="D7" s="37">
        <v>0</v>
      </c>
      <c r="E7" s="42">
        <f t="shared" si="0"/>
        <v>2.8333333333333299</v>
      </c>
      <c r="F7" s="32"/>
      <c r="G7" s="4"/>
      <c r="H7" s="58">
        <f t="shared" si="1"/>
        <v>0</v>
      </c>
      <c r="I7" s="5" t="s">
        <v>9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</row>
    <row r="8" spans="1:23" ht="16.5" customHeight="1" x14ac:dyDescent="0.3">
      <c r="A8" s="6">
        <v>4</v>
      </c>
      <c r="B8" s="7">
        <v>22222010</v>
      </c>
      <c r="C8" s="37">
        <v>2.3333333333333299</v>
      </c>
      <c r="D8" s="37">
        <v>0</v>
      </c>
      <c r="E8" s="42">
        <f t="shared" si="0"/>
        <v>2.3333333333333299</v>
      </c>
      <c r="F8" s="32">
        <v>0.25</v>
      </c>
      <c r="G8" s="4">
        <v>0</v>
      </c>
      <c r="H8" s="58">
        <f t="shared" si="1"/>
        <v>0.25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</row>
    <row r="9" spans="1:23" ht="16.5" customHeight="1" x14ac:dyDescent="0.3">
      <c r="A9" s="6">
        <v>5</v>
      </c>
      <c r="B9" s="7">
        <v>22222048</v>
      </c>
      <c r="C9" s="37">
        <v>6.1666666666666696</v>
      </c>
      <c r="D9" s="37">
        <v>2.5</v>
      </c>
      <c r="E9" s="42">
        <f t="shared" si="0"/>
        <v>8.6666666666666696</v>
      </c>
      <c r="F9" s="33">
        <v>4.25</v>
      </c>
      <c r="G9" s="4">
        <v>2.25</v>
      </c>
      <c r="H9" s="58">
        <f t="shared" si="1"/>
        <v>6.5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</row>
    <row r="10" spans="1:23" ht="16.5" customHeight="1" x14ac:dyDescent="0.3">
      <c r="A10" s="6">
        <v>6</v>
      </c>
      <c r="B10" s="7">
        <v>22221962</v>
      </c>
      <c r="C10" s="37">
        <v>3.1666666666666701</v>
      </c>
      <c r="D10" s="37">
        <v>2.5</v>
      </c>
      <c r="E10" s="42">
        <f t="shared" si="0"/>
        <v>5.6666666666666696</v>
      </c>
      <c r="F10" s="34">
        <v>0</v>
      </c>
      <c r="G10" s="9">
        <v>0</v>
      </c>
      <c r="H10" s="58">
        <f t="shared" si="1"/>
        <v>0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</row>
    <row r="11" spans="1:23" ht="16.5" customHeight="1" x14ac:dyDescent="0.3">
      <c r="A11" s="6">
        <v>7</v>
      </c>
      <c r="B11" s="7">
        <v>22222047</v>
      </c>
      <c r="C11" s="37">
        <v>7.1666666666666696</v>
      </c>
      <c r="D11" s="37">
        <v>6.5</v>
      </c>
      <c r="E11" s="42">
        <f t="shared" si="0"/>
        <v>13.66666666666667</v>
      </c>
      <c r="F11" s="32">
        <v>4.75</v>
      </c>
      <c r="G11" s="4">
        <v>3.75</v>
      </c>
      <c r="H11" s="58">
        <f t="shared" si="1"/>
        <v>8.5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</row>
    <row r="12" spans="1:23" ht="16.5" customHeight="1" x14ac:dyDescent="0.3">
      <c r="A12" s="6">
        <v>8</v>
      </c>
      <c r="B12" s="7">
        <v>22222056</v>
      </c>
      <c r="C12" s="37">
        <v>2.8333333333333299</v>
      </c>
      <c r="D12" s="37">
        <v>5</v>
      </c>
      <c r="E12" s="42">
        <f t="shared" si="0"/>
        <v>7.8333333333333304</v>
      </c>
      <c r="F12" s="32">
        <v>4.25</v>
      </c>
      <c r="G12" s="4">
        <v>0</v>
      </c>
      <c r="H12" s="58">
        <f t="shared" si="1"/>
        <v>4.25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</row>
    <row r="13" spans="1:23" ht="16.5" customHeight="1" x14ac:dyDescent="0.3">
      <c r="A13" s="6">
        <v>9</v>
      </c>
      <c r="B13" s="7">
        <v>22222066</v>
      </c>
      <c r="C13" s="37">
        <v>1.3333333333333299</v>
      </c>
      <c r="D13" s="37">
        <v>5</v>
      </c>
      <c r="E13" s="42">
        <f t="shared" si="0"/>
        <v>6.3333333333333304</v>
      </c>
      <c r="F13" s="32">
        <v>3.25</v>
      </c>
      <c r="G13" s="4">
        <v>1.75</v>
      </c>
      <c r="H13" s="58">
        <f t="shared" si="1"/>
        <v>5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</row>
    <row r="14" spans="1:23" ht="16.5" customHeight="1" x14ac:dyDescent="0.3">
      <c r="A14" s="6">
        <v>10</v>
      </c>
      <c r="B14" s="7">
        <v>22222059</v>
      </c>
      <c r="C14" s="37">
        <v>6.1666666666666696</v>
      </c>
      <c r="D14" s="37">
        <v>5</v>
      </c>
      <c r="E14" s="42">
        <f t="shared" si="0"/>
        <v>11.16666666666667</v>
      </c>
      <c r="F14" s="32">
        <v>4.25</v>
      </c>
      <c r="G14" s="4">
        <v>1.75</v>
      </c>
      <c r="H14" s="58">
        <f t="shared" si="1"/>
        <v>6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</row>
    <row r="15" spans="1:23" ht="16.5" customHeight="1" x14ac:dyDescent="0.3">
      <c r="A15" s="6">
        <v>11</v>
      </c>
      <c r="B15" s="7">
        <v>22222032</v>
      </c>
      <c r="C15" s="37">
        <v>5</v>
      </c>
      <c r="D15" s="37">
        <v>5</v>
      </c>
      <c r="E15" s="42">
        <f t="shared" si="0"/>
        <v>10</v>
      </c>
      <c r="F15" s="32">
        <v>5.75</v>
      </c>
      <c r="G15" s="4">
        <v>9</v>
      </c>
      <c r="H15" s="58">
        <f t="shared" si="1"/>
        <v>14.75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</row>
    <row r="16" spans="1:23" ht="16.5" customHeight="1" x14ac:dyDescent="0.3">
      <c r="A16" s="6">
        <v>12</v>
      </c>
      <c r="B16" s="7">
        <v>22222075</v>
      </c>
      <c r="C16" s="37">
        <v>6.6666666666666696</v>
      </c>
      <c r="D16" s="37">
        <v>5</v>
      </c>
      <c r="E16" s="42">
        <f t="shared" si="0"/>
        <v>11.66666666666667</v>
      </c>
      <c r="F16" s="32">
        <v>6</v>
      </c>
      <c r="G16" s="4">
        <v>1.75</v>
      </c>
      <c r="H16" s="58">
        <f t="shared" si="1"/>
        <v>7.75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</row>
    <row r="17" spans="1:20" ht="16.5" customHeight="1" x14ac:dyDescent="0.3">
      <c r="A17" s="6">
        <v>13</v>
      </c>
      <c r="B17" s="7">
        <v>22222079</v>
      </c>
      <c r="C17" s="37">
        <v>7.8333333333333304</v>
      </c>
      <c r="D17" s="37">
        <v>4</v>
      </c>
      <c r="E17" s="42">
        <f t="shared" si="0"/>
        <v>11.83333333333333</v>
      </c>
      <c r="F17" s="32">
        <v>3.25</v>
      </c>
      <c r="G17" s="4">
        <v>4</v>
      </c>
      <c r="H17" s="58">
        <f t="shared" si="1"/>
        <v>7.25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</row>
    <row r="18" spans="1:20" ht="16.5" customHeight="1" x14ac:dyDescent="0.3">
      <c r="A18" s="6">
        <v>14</v>
      </c>
      <c r="B18" s="7">
        <v>22222027</v>
      </c>
      <c r="C18" s="37">
        <v>6.3333333333333304</v>
      </c>
      <c r="D18" s="37">
        <v>5</v>
      </c>
      <c r="E18" s="42">
        <f t="shared" si="0"/>
        <v>11.33333333333333</v>
      </c>
      <c r="F18" s="32">
        <v>4.75</v>
      </c>
      <c r="G18" s="4">
        <v>1.5</v>
      </c>
      <c r="H18" s="58">
        <f t="shared" si="1"/>
        <v>6.25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</row>
    <row r="19" spans="1:20" ht="16.5" customHeight="1" x14ac:dyDescent="0.3">
      <c r="A19" s="6">
        <v>15</v>
      </c>
      <c r="B19" s="7">
        <v>22222076</v>
      </c>
      <c r="C19" s="37">
        <v>7.1666666666666696</v>
      </c>
      <c r="D19" s="37">
        <v>5</v>
      </c>
      <c r="E19" s="42">
        <f t="shared" si="0"/>
        <v>12.16666666666667</v>
      </c>
      <c r="F19" s="32">
        <v>4.25</v>
      </c>
      <c r="G19" s="4">
        <v>2</v>
      </c>
      <c r="H19" s="58">
        <f t="shared" si="1"/>
        <v>6.25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</row>
    <row r="20" spans="1:20" ht="16.5" customHeight="1" x14ac:dyDescent="0.3">
      <c r="A20" s="6">
        <v>16</v>
      </c>
      <c r="B20" s="7">
        <v>22222026</v>
      </c>
      <c r="C20" s="37">
        <v>5.1666666666666696</v>
      </c>
      <c r="D20" s="37">
        <v>5</v>
      </c>
      <c r="E20" s="42">
        <f t="shared" si="0"/>
        <v>10.16666666666667</v>
      </c>
      <c r="F20" s="32">
        <v>2.75</v>
      </c>
      <c r="G20" s="4">
        <v>1</v>
      </c>
      <c r="H20" s="58">
        <f t="shared" si="1"/>
        <v>3.75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</row>
    <row r="21" spans="1:20" ht="16.5" customHeight="1" x14ac:dyDescent="0.3">
      <c r="A21" s="6">
        <v>17</v>
      </c>
      <c r="B21" s="7">
        <v>22222053</v>
      </c>
      <c r="C21" s="37">
        <v>5.6666666666666696</v>
      </c>
      <c r="D21" s="37">
        <v>6.5</v>
      </c>
      <c r="E21" s="42">
        <f t="shared" si="0"/>
        <v>12.16666666666667</v>
      </c>
      <c r="F21" s="32">
        <v>4.25</v>
      </c>
      <c r="G21" s="4">
        <v>1.5</v>
      </c>
      <c r="H21" s="58">
        <f t="shared" si="1"/>
        <v>5.75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</row>
    <row r="22" spans="1:20" ht="16.5" customHeight="1" x14ac:dyDescent="0.3">
      <c r="A22" s="6">
        <v>18</v>
      </c>
      <c r="B22" s="7">
        <v>22222073</v>
      </c>
      <c r="C22" s="37">
        <v>9.1666666666666696</v>
      </c>
      <c r="D22" s="37">
        <v>4</v>
      </c>
      <c r="E22" s="42">
        <f t="shared" si="0"/>
        <v>13.16666666666667</v>
      </c>
      <c r="F22" s="32">
        <v>6.25</v>
      </c>
      <c r="G22" s="4">
        <v>2.25</v>
      </c>
      <c r="H22" s="58">
        <f t="shared" si="1"/>
        <v>8.5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</row>
    <row r="23" spans="1:20" ht="16.5" customHeight="1" x14ac:dyDescent="0.3">
      <c r="A23" s="6">
        <v>19</v>
      </c>
      <c r="B23" s="7">
        <v>22222031</v>
      </c>
      <c r="C23" s="37">
        <v>1.3333333333333299</v>
      </c>
      <c r="D23" s="37">
        <v>5</v>
      </c>
      <c r="E23" s="42">
        <f t="shared" si="0"/>
        <v>6.3333333333333304</v>
      </c>
      <c r="F23" s="32">
        <v>0.75</v>
      </c>
      <c r="G23" s="4">
        <v>0.5</v>
      </c>
      <c r="H23" s="58">
        <f t="shared" si="1"/>
        <v>1.25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</row>
    <row r="24" spans="1:20" ht="16.5" customHeight="1" x14ac:dyDescent="0.3">
      <c r="A24" s="6">
        <v>20</v>
      </c>
      <c r="B24" s="7">
        <v>22222091</v>
      </c>
      <c r="C24" s="37">
        <v>4</v>
      </c>
      <c r="D24" s="37">
        <v>5</v>
      </c>
      <c r="E24" s="42">
        <f t="shared" si="0"/>
        <v>9</v>
      </c>
      <c r="F24" s="32">
        <v>5.25</v>
      </c>
      <c r="G24" s="4">
        <v>4.25</v>
      </c>
      <c r="H24" s="58">
        <f t="shared" si="1"/>
        <v>9.5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</row>
    <row r="25" spans="1:20" ht="16.5" customHeight="1" x14ac:dyDescent="0.3">
      <c r="A25" s="6">
        <v>21</v>
      </c>
      <c r="B25" s="7">
        <v>22222087</v>
      </c>
      <c r="C25" s="37">
        <v>4.5</v>
      </c>
      <c r="D25" s="37">
        <v>5</v>
      </c>
      <c r="E25" s="42">
        <f t="shared" si="0"/>
        <v>9.5</v>
      </c>
      <c r="F25" s="32">
        <v>0.5</v>
      </c>
      <c r="G25" s="4">
        <v>0</v>
      </c>
      <c r="H25" s="58">
        <f t="shared" si="1"/>
        <v>0.5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</row>
    <row r="26" spans="1:20" ht="16.5" customHeight="1" x14ac:dyDescent="0.3">
      <c r="A26" s="6">
        <v>22</v>
      </c>
      <c r="B26" s="7">
        <v>22222082</v>
      </c>
      <c r="C26" s="37">
        <v>5</v>
      </c>
      <c r="D26" s="37">
        <v>0</v>
      </c>
      <c r="E26" s="42">
        <f t="shared" si="0"/>
        <v>5</v>
      </c>
      <c r="F26" s="32">
        <v>3.25</v>
      </c>
      <c r="G26" s="4">
        <v>0</v>
      </c>
      <c r="H26" s="58">
        <f t="shared" si="1"/>
        <v>3.25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</row>
    <row r="27" spans="1:20" ht="16.5" customHeight="1" x14ac:dyDescent="0.3">
      <c r="A27" s="6">
        <v>23</v>
      </c>
      <c r="B27" s="7">
        <v>22222029</v>
      </c>
      <c r="C27" s="37">
        <v>4.3333333333333304</v>
      </c>
      <c r="D27" s="37">
        <v>6.5</v>
      </c>
      <c r="E27" s="42">
        <f t="shared" si="0"/>
        <v>10.83333333333333</v>
      </c>
      <c r="F27" s="32">
        <v>8</v>
      </c>
      <c r="G27" s="4">
        <v>2.5</v>
      </c>
      <c r="H27" s="58">
        <f t="shared" si="1"/>
        <v>10.5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</row>
    <row r="28" spans="1:20" ht="16.5" customHeight="1" x14ac:dyDescent="0.3">
      <c r="A28" s="6">
        <v>24</v>
      </c>
      <c r="B28" s="7">
        <v>22222043</v>
      </c>
      <c r="C28" s="37">
        <v>3.1666666666666701</v>
      </c>
      <c r="D28" s="37">
        <v>5</v>
      </c>
      <c r="E28" s="42">
        <f t="shared" si="0"/>
        <v>8.1666666666666696</v>
      </c>
      <c r="F28" s="32">
        <v>0.75</v>
      </c>
      <c r="G28" s="4">
        <v>1.5</v>
      </c>
      <c r="H28" s="58">
        <f t="shared" si="1"/>
        <v>2.25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</row>
    <row r="29" spans="1:20" ht="16.5" customHeight="1" x14ac:dyDescent="0.3">
      <c r="A29" s="6">
        <v>25</v>
      </c>
      <c r="B29" s="7">
        <v>22222050</v>
      </c>
      <c r="C29" s="37">
        <v>3.8333333333333299</v>
      </c>
      <c r="D29" s="37">
        <v>8</v>
      </c>
      <c r="E29" s="42">
        <f t="shared" si="0"/>
        <v>11.83333333333333</v>
      </c>
      <c r="F29" s="32"/>
      <c r="G29" s="4"/>
      <c r="H29" s="58">
        <f t="shared" si="1"/>
        <v>0</v>
      </c>
      <c r="I29" s="5" t="s">
        <v>9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</row>
    <row r="30" spans="1:20" s="73" customFormat="1" ht="16.5" customHeight="1" x14ac:dyDescent="0.3">
      <c r="A30" s="64">
        <v>26</v>
      </c>
      <c r="B30" s="65">
        <v>22222025</v>
      </c>
      <c r="C30" s="67">
        <v>1.3333333333333299</v>
      </c>
      <c r="D30" s="67">
        <v>5</v>
      </c>
      <c r="E30" s="68">
        <f t="shared" si="0"/>
        <v>6.3333333333333304</v>
      </c>
      <c r="F30" s="69">
        <v>0.25</v>
      </c>
      <c r="G30" s="70">
        <v>0</v>
      </c>
      <c r="H30" s="71">
        <f t="shared" si="1"/>
        <v>0.25</v>
      </c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</row>
    <row r="31" spans="1:20" ht="16.5" customHeight="1" x14ac:dyDescent="0.3">
      <c r="A31" s="6">
        <v>27</v>
      </c>
      <c r="B31" s="7">
        <v>22222033</v>
      </c>
      <c r="C31" s="37">
        <v>2.5</v>
      </c>
      <c r="D31" s="37">
        <v>5</v>
      </c>
      <c r="E31" s="42">
        <f t="shared" si="0"/>
        <v>7.5</v>
      </c>
      <c r="F31" s="32">
        <v>1.75</v>
      </c>
      <c r="G31" s="4">
        <v>0.25</v>
      </c>
      <c r="H31" s="58">
        <f t="shared" si="1"/>
        <v>2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</row>
    <row r="32" spans="1:20" ht="16.5" customHeight="1" x14ac:dyDescent="0.3">
      <c r="A32" s="6">
        <v>28</v>
      </c>
      <c r="B32" s="7">
        <v>22221998</v>
      </c>
      <c r="C32" s="37">
        <v>3.1666666666666701</v>
      </c>
      <c r="D32" s="37">
        <v>5</v>
      </c>
      <c r="E32" s="42">
        <f t="shared" si="0"/>
        <v>8.1666666666666696</v>
      </c>
      <c r="F32" s="32">
        <v>0.5</v>
      </c>
      <c r="G32" s="4">
        <v>1.25</v>
      </c>
      <c r="H32" s="58">
        <f t="shared" si="1"/>
        <v>1.75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</row>
    <row r="33" spans="1:24" ht="16.5" customHeight="1" x14ac:dyDescent="0.3">
      <c r="A33" s="6">
        <v>29</v>
      </c>
      <c r="B33" s="7">
        <v>22222089</v>
      </c>
      <c r="C33" s="37">
        <v>6.3333333333333304</v>
      </c>
      <c r="D33" s="37">
        <v>5</v>
      </c>
      <c r="E33" s="42">
        <f t="shared" si="0"/>
        <v>11.33333333333333</v>
      </c>
      <c r="F33" s="32">
        <v>5.5</v>
      </c>
      <c r="G33" s="4">
        <v>4</v>
      </c>
      <c r="H33" s="58">
        <f t="shared" si="1"/>
        <v>9.5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</row>
    <row r="34" spans="1:24" ht="16.5" customHeight="1" x14ac:dyDescent="0.3">
      <c r="A34" s="6">
        <v>30</v>
      </c>
      <c r="B34" s="7">
        <v>22222030</v>
      </c>
      <c r="C34" s="37">
        <v>5</v>
      </c>
      <c r="D34" s="37">
        <v>5</v>
      </c>
      <c r="E34" s="42">
        <f t="shared" si="0"/>
        <v>10</v>
      </c>
      <c r="F34" s="32">
        <v>4.25</v>
      </c>
      <c r="G34" s="4">
        <v>1.75</v>
      </c>
      <c r="H34" s="58">
        <f t="shared" si="1"/>
        <v>6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</row>
    <row r="35" spans="1:24" ht="16.5" customHeight="1" x14ac:dyDescent="0.3">
      <c r="A35" s="6">
        <v>31</v>
      </c>
      <c r="B35" s="7">
        <v>22222028</v>
      </c>
      <c r="C35" s="37">
        <v>7.5</v>
      </c>
      <c r="D35" s="37">
        <v>5.5</v>
      </c>
      <c r="E35" s="42">
        <f t="shared" si="0"/>
        <v>13</v>
      </c>
      <c r="F35" s="32">
        <v>4.5</v>
      </c>
      <c r="G35" s="4">
        <v>3.75</v>
      </c>
      <c r="H35" s="58">
        <f t="shared" si="1"/>
        <v>8.25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</row>
    <row r="36" spans="1:24" ht="16.5" customHeight="1" x14ac:dyDescent="0.3">
      <c r="A36" s="6">
        <v>32</v>
      </c>
      <c r="B36" s="7">
        <v>22222024</v>
      </c>
      <c r="C36" s="37">
        <v>5.1666666666666696</v>
      </c>
      <c r="D36" s="37">
        <v>5</v>
      </c>
      <c r="E36" s="42">
        <f t="shared" si="0"/>
        <v>10.16666666666667</v>
      </c>
      <c r="F36" s="32">
        <v>4.25</v>
      </c>
      <c r="G36" s="4">
        <v>5.5</v>
      </c>
      <c r="H36" s="58">
        <f t="shared" si="1"/>
        <v>9.75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</row>
    <row r="37" spans="1:24" ht="16.5" customHeight="1" x14ac:dyDescent="0.3">
      <c r="A37" s="6">
        <v>33</v>
      </c>
      <c r="B37" s="7">
        <v>22222085</v>
      </c>
      <c r="C37" s="37">
        <v>6</v>
      </c>
      <c r="D37" s="37">
        <v>6.75</v>
      </c>
      <c r="E37" s="42">
        <f t="shared" si="0"/>
        <v>12.75</v>
      </c>
      <c r="F37" s="32">
        <v>2.25</v>
      </c>
      <c r="G37" s="4">
        <v>3.25</v>
      </c>
      <c r="H37" s="58">
        <f t="shared" si="1"/>
        <v>5.5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</row>
    <row r="38" spans="1:24" ht="16.5" customHeight="1" x14ac:dyDescent="0.3">
      <c r="A38" s="6">
        <v>34</v>
      </c>
      <c r="B38" s="7">
        <v>22222041</v>
      </c>
      <c r="C38" s="37">
        <v>3.3333333333333299</v>
      </c>
      <c r="D38" s="37">
        <v>1.5</v>
      </c>
      <c r="E38" s="42">
        <f t="shared" si="0"/>
        <v>4.8333333333333304</v>
      </c>
      <c r="F38" s="32">
        <v>8.5</v>
      </c>
      <c r="G38" s="4">
        <v>2.5</v>
      </c>
      <c r="H38" s="58">
        <f t="shared" si="1"/>
        <v>11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</row>
    <row r="39" spans="1:24" ht="16.5" customHeight="1" x14ac:dyDescent="0.3">
      <c r="A39" s="6">
        <v>35</v>
      </c>
      <c r="B39" s="7">
        <v>22222239</v>
      </c>
      <c r="C39" s="37">
        <v>6.3333333333333304</v>
      </c>
      <c r="D39" s="37">
        <v>2.5</v>
      </c>
      <c r="E39" s="42">
        <f t="shared" si="0"/>
        <v>8.8333333333333304</v>
      </c>
      <c r="F39" s="32">
        <v>4.75</v>
      </c>
      <c r="G39" s="4">
        <v>0</v>
      </c>
      <c r="H39" s="58">
        <f t="shared" si="1"/>
        <v>4.75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</row>
    <row r="40" spans="1:24" ht="16.5" customHeight="1" x14ac:dyDescent="0.3">
      <c r="A40" s="6">
        <v>36</v>
      </c>
      <c r="B40" s="7">
        <v>22222046</v>
      </c>
      <c r="C40" s="37">
        <v>6.6666666666666696</v>
      </c>
      <c r="D40" s="37">
        <v>2.5</v>
      </c>
      <c r="E40" s="42">
        <f t="shared" si="0"/>
        <v>9.1666666666666696</v>
      </c>
      <c r="F40" s="32">
        <v>4.25</v>
      </c>
      <c r="G40" s="4">
        <v>3</v>
      </c>
      <c r="H40" s="58">
        <f t="shared" si="1"/>
        <v>7.25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</row>
    <row r="41" spans="1:24" ht="16.5" customHeight="1" x14ac:dyDescent="0.3">
      <c r="A41" s="84" t="s">
        <v>4</v>
      </c>
      <c r="B41" s="84"/>
      <c r="C41" s="37"/>
      <c r="D41" s="37"/>
      <c r="E41" s="42"/>
      <c r="F41" s="32"/>
      <c r="G41" s="4"/>
      <c r="H41" s="58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</row>
    <row r="42" spans="1:24" ht="16.5" customHeight="1" x14ac:dyDescent="0.3">
      <c r="A42" s="6">
        <v>37</v>
      </c>
      <c r="B42" s="10">
        <v>22122375</v>
      </c>
      <c r="C42" s="37">
        <v>1.3333333333333299</v>
      </c>
      <c r="D42" s="37">
        <v>5</v>
      </c>
      <c r="E42" s="42">
        <f t="shared" si="0"/>
        <v>6.3333333333333304</v>
      </c>
      <c r="F42" s="32">
        <v>1.25</v>
      </c>
      <c r="G42" s="4">
        <v>0</v>
      </c>
      <c r="H42" s="58">
        <f t="shared" si="1"/>
        <v>1.25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</row>
    <row r="43" spans="1:24" ht="16.5" customHeight="1" x14ac:dyDescent="0.3">
      <c r="A43" s="6">
        <v>38</v>
      </c>
      <c r="B43" s="10">
        <v>22022853</v>
      </c>
      <c r="C43" s="37">
        <v>1.1666666666666701</v>
      </c>
      <c r="D43" s="37">
        <v>5</v>
      </c>
      <c r="E43" s="42">
        <f t="shared" si="0"/>
        <v>6.1666666666666696</v>
      </c>
      <c r="F43" s="32">
        <v>0</v>
      </c>
      <c r="G43" s="4">
        <v>0.25</v>
      </c>
      <c r="H43" s="58">
        <f t="shared" si="1"/>
        <v>0.25</v>
      </c>
      <c r="I43" s="5"/>
      <c r="J43" s="5"/>
      <c r="K43" s="5"/>
      <c r="L43" s="5"/>
      <c r="M43" s="5"/>
      <c r="N43" s="5"/>
      <c r="O43" s="5"/>
      <c r="P43" s="5"/>
    </row>
    <row r="44" spans="1:24" ht="16.5" customHeight="1" x14ac:dyDescent="0.3">
      <c r="A44" s="6">
        <v>39</v>
      </c>
      <c r="B44" s="10">
        <v>22121829</v>
      </c>
      <c r="C44" s="37">
        <v>0</v>
      </c>
      <c r="D44" s="37">
        <v>0</v>
      </c>
      <c r="E44" s="42">
        <f t="shared" si="0"/>
        <v>0</v>
      </c>
      <c r="F44" s="32"/>
      <c r="G44" s="4"/>
      <c r="H44" s="58">
        <f t="shared" si="1"/>
        <v>0</v>
      </c>
      <c r="I44" s="5" t="s">
        <v>9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5.6" x14ac:dyDescent="0.3">
      <c r="A45" s="6">
        <v>40</v>
      </c>
      <c r="B45" s="6">
        <v>21923111</v>
      </c>
      <c r="C45" s="36">
        <v>5.1666666666666696</v>
      </c>
      <c r="D45" s="36">
        <v>2.5</v>
      </c>
      <c r="E45" s="42">
        <f t="shared" si="0"/>
        <v>7.6666666666666696</v>
      </c>
      <c r="F45" s="3">
        <v>2.5</v>
      </c>
      <c r="G45" s="3">
        <v>0.25</v>
      </c>
      <c r="H45" s="58">
        <f t="shared" si="1"/>
        <v>2.75</v>
      </c>
    </row>
    <row r="46" spans="1:24" ht="16.5" customHeight="1" x14ac:dyDescent="0.3">
      <c r="A46" s="5"/>
      <c r="B46" s="5"/>
      <c r="C46" s="38"/>
      <c r="D46" s="38"/>
      <c r="E46" s="43"/>
      <c r="F46" s="35"/>
      <c r="G46" s="5"/>
      <c r="H46" s="61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6.5" customHeight="1" x14ac:dyDescent="0.3">
      <c r="A47" s="5"/>
      <c r="B47" s="5"/>
      <c r="C47" s="38"/>
      <c r="D47" s="38"/>
      <c r="E47" s="43"/>
      <c r="F47" s="35"/>
      <c r="G47" s="5"/>
      <c r="H47" s="61">
        <f>SUM(H5:H46)/37</f>
        <v>5.5743243243243246</v>
      </c>
      <c r="I47" s="5" t="s">
        <v>24</v>
      </c>
      <c r="J47" s="5"/>
      <c r="K47" s="5"/>
      <c r="L47" s="5"/>
      <c r="M47" s="5"/>
      <c r="N47" s="5"/>
      <c r="O47" s="5"/>
      <c r="P47" s="5"/>
    </row>
    <row r="48" spans="1:24" ht="16.5" customHeight="1" x14ac:dyDescent="0.3"/>
    <row r="49" ht="16.5" customHeight="1" x14ac:dyDescent="0.3"/>
    <row r="50" ht="16.5" customHeight="1" x14ac:dyDescent="0.3"/>
    <row r="51" ht="16.5" customHeight="1" x14ac:dyDescent="0.3"/>
    <row r="52" ht="16.5" customHeight="1" x14ac:dyDescent="0.3"/>
    <row r="53" ht="16.5" customHeight="1" x14ac:dyDescent="0.3"/>
    <row r="54" ht="16.5" customHeight="1" x14ac:dyDescent="0.3"/>
    <row r="55" ht="16.5" customHeight="1" x14ac:dyDescent="0.3"/>
    <row r="56" ht="16.5" customHeight="1" x14ac:dyDescent="0.3"/>
    <row r="57" ht="16.5" customHeight="1" x14ac:dyDescent="0.3"/>
    <row r="58" ht="16.5" customHeight="1" x14ac:dyDescent="0.3"/>
    <row r="59" ht="16.5" customHeight="1" x14ac:dyDescent="0.3"/>
    <row r="60" ht="16.5" customHeight="1" x14ac:dyDescent="0.3"/>
    <row r="61" ht="16.5" customHeight="1" x14ac:dyDescent="0.3"/>
    <row r="62" ht="16.5" customHeight="1" x14ac:dyDescent="0.3"/>
    <row r="63" ht="16.5" customHeight="1" x14ac:dyDescent="0.3"/>
    <row r="64" ht="16.5" customHeight="1" x14ac:dyDescent="0.3"/>
    <row r="65" ht="16.5" customHeight="1" x14ac:dyDescent="0.3"/>
    <row r="66" ht="16.5" customHeight="1" x14ac:dyDescent="0.3"/>
    <row r="67" ht="16.5" customHeight="1" x14ac:dyDescent="0.3"/>
    <row r="68" ht="16.5" customHeight="1" x14ac:dyDescent="0.3"/>
    <row r="69" ht="16.5" customHeight="1" x14ac:dyDescent="0.3"/>
    <row r="70" ht="16.5" customHeight="1" x14ac:dyDescent="0.3"/>
    <row r="71" ht="16.5" customHeight="1" x14ac:dyDescent="0.3"/>
    <row r="72" ht="16.5" customHeight="1" x14ac:dyDescent="0.3"/>
    <row r="73" ht="16.5" customHeight="1" x14ac:dyDescent="0.3"/>
    <row r="74" ht="16.5" customHeight="1" x14ac:dyDescent="0.3"/>
    <row r="75" ht="16.5" customHeight="1" x14ac:dyDescent="0.3"/>
    <row r="76" ht="16.5" customHeight="1" x14ac:dyDescent="0.3"/>
    <row r="77" ht="16.5" customHeight="1" x14ac:dyDescent="0.3"/>
    <row r="78" ht="16.5" customHeight="1" x14ac:dyDescent="0.3"/>
    <row r="79" ht="16.5" customHeight="1" x14ac:dyDescent="0.3"/>
    <row r="80" ht="16.5" customHeight="1" x14ac:dyDescent="0.3"/>
    <row r="81" ht="16.5" customHeight="1" x14ac:dyDescent="0.3"/>
    <row r="82" ht="16.5" customHeight="1" x14ac:dyDescent="0.3"/>
    <row r="83" ht="16.5" customHeight="1" x14ac:dyDescent="0.3"/>
    <row r="84" ht="16.5" customHeight="1" x14ac:dyDescent="0.3"/>
    <row r="85" ht="16.5" customHeight="1" x14ac:dyDescent="0.3"/>
    <row r="86" ht="16.5" customHeight="1" x14ac:dyDescent="0.3"/>
    <row r="87" ht="16.5" customHeight="1" x14ac:dyDescent="0.3"/>
    <row r="88" ht="16.5" customHeight="1" x14ac:dyDescent="0.3"/>
    <row r="89" ht="16.5" customHeight="1" x14ac:dyDescent="0.3"/>
    <row r="90" ht="16.5" customHeight="1" x14ac:dyDescent="0.3"/>
    <row r="91" ht="16.5" customHeight="1" x14ac:dyDescent="0.3"/>
    <row r="92" ht="16.5" customHeight="1" x14ac:dyDescent="0.3"/>
    <row r="93" ht="16.5" customHeight="1" x14ac:dyDescent="0.3"/>
    <row r="94" ht="16.5" customHeight="1" x14ac:dyDescent="0.3"/>
    <row r="95" ht="16.5" customHeight="1" x14ac:dyDescent="0.3"/>
    <row r="96" ht="16.5" customHeight="1" x14ac:dyDescent="0.3"/>
    <row r="97" ht="16.5" customHeight="1" x14ac:dyDescent="0.3"/>
    <row r="98" ht="16.5" customHeight="1" x14ac:dyDescent="0.3"/>
    <row r="99" ht="16.5" customHeight="1" x14ac:dyDescent="0.3"/>
    <row r="100" ht="16.5" customHeight="1" x14ac:dyDescent="0.3"/>
    <row r="101" ht="16.5" customHeight="1" x14ac:dyDescent="0.3"/>
    <row r="102" ht="16.5" customHeight="1" x14ac:dyDescent="0.3"/>
    <row r="103" ht="16.5" customHeight="1" x14ac:dyDescent="0.3"/>
    <row r="104" ht="16.5" customHeight="1" x14ac:dyDescent="0.3"/>
    <row r="105" ht="16.5" customHeight="1" x14ac:dyDescent="0.3"/>
    <row r="106" ht="16.5" customHeight="1" x14ac:dyDescent="0.3"/>
    <row r="107" ht="16.5" customHeight="1" x14ac:dyDescent="0.3"/>
    <row r="108" ht="16.5" customHeight="1" x14ac:dyDescent="0.3"/>
    <row r="109" ht="16.5" customHeight="1" x14ac:dyDescent="0.3"/>
    <row r="110" ht="16.5" customHeight="1" x14ac:dyDescent="0.3"/>
    <row r="111" ht="16.5" customHeight="1" x14ac:dyDescent="0.3"/>
    <row r="112" ht="16.5" customHeight="1" x14ac:dyDescent="0.3"/>
    <row r="113" ht="16.5" customHeight="1" x14ac:dyDescent="0.3"/>
    <row r="114" ht="16.5" customHeight="1" x14ac:dyDescent="0.3"/>
    <row r="115" ht="16.5" customHeight="1" x14ac:dyDescent="0.3"/>
    <row r="116" ht="16.5" customHeight="1" x14ac:dyDescent="0.3"/>
    <row r="117" ht="16.5" customHeight="1" x14ac:dyDescent="0.3"/>
    <row r="118" ht="16.5" customHeight="1" x14ac:dyDescent="0.3"/>
    <row r="119" ht="16.5" customHeight="1" x14ac:dyDescent="0.3"/>
    <row r="120" ht="16.5" customHeight="1" x14ac:dyDescent="0.3"/>
    <row r="121" ht="16.5" customHeight="1" x14ac:dyDescent="0.3"/>
    <row r="122" ht="16.5" customHeight="1" x14ac:dyDescent="0.3"/>
    <row r="123" ht="16.5" customHeight="1" x14ac:dyDescent="0.3"/>
    <row r="124" ht="16.5" customHeight="1" x14ac:dyDescent="0.3"/>
    <row r="125" ht="16.5" customHeight="1" x14ac:dyDescent="0.3"/>
    <row r="126" ht="16.5" customHeight="1" x14ac:dyDescent="0.3"/>
    <row r="127" ht="16.5" customHeight="1" x14ac:dyDescent="0.3"/>
    <row r="128" ht="16.5" customHeight="1" x14ac:dyDescent="0.3"/>
    <row r="129" ht="16.5" customHeight="1" x14ac:dyDescent="0.3"/>
    <row r="130" ht="16.5" customHeight="1" x14ac:dyDescent="0.3"/>
    <row r="131" ht="16.5" customHeight="1" x14ac:dyDescent="0.3"/>
    <row r="132" ht="16.5" customHeight="1" x14ac:dyDescent="0.3"/>
    <row r="133" ht="16.5" customHeight="1" x14ac:dyDescent="0.3"/>
    <row r="134" ht="16.5" customHeight="1" x14ac:dyDescent="0.3"/>
    <row r="135" ht="16.5" customHeight="1" x14ac:dyDescent="0.3"/>
    <row r="136" ht="16.5" customHeight="1" x14ac:dyDescent="0.3"/>
    <row r="137" ht="16.5" customHeight="1" x14ac:dyDescent="0.3"/>
    <row r="138" ht="16.5" customHeight="1" x14ac:dyDescent="0.3"/>
    <row r="139" ht="16.5" customHeight="1" x14ac:dyDescent="0.3"/>
    <row r="140" ht="16.5" customHeight="1" x14ac:dyDescent="0.3"/>
    <row r="141" ht="16.5" customHeight="1" x14ac:dyDescent="0.3"/>
    <row r="142" ht="16.5" customHeight="1" x14ac:dyDescent="0.3"/>
    <row r="143" ht="16.5" customHeight="1" x14ac:dyDescent="0.3"/>
    <row r="144" ht="16.5" customHeight="1" x14ac:dyDescent="0.3"/>
    <row r="145" ht="16.5" customHeight="1" x14ac:dyDescent="0.3"/>
    <row r="146" ht="16.5" customHeight="1" x14ac:dyDescent="0.3"/>
    <row r="147" ht="16.5" customHeight="1" x14ac:dyDescent="0.3"/>
    <row r="148" ht="16.5" customHeight="1" x14ac:dyDescent="0.3"/>
    <row r="149" ht="16.5" customHeight="1" x14ac:dyDescent="0.3"/>
    <row r="150" ht="16.5" customHeight="1" x14ac:dyDescent="0.3"/>
    <row r="151" ht="16.5" customHeight="1" x14ac:dyDescent="0.3"/>
    <row r="152" ht="16.5" customHeight="1" x14ac:dyDescent="0.3"/>
    <row r="153" ht="16.5" customHeight="1" x14ac:dyDescent="0.3"/>
    <row r="154" ht="16.5" customHeight="1" x14ac:dyDescent="0.3"/>
    <row r="155" ht="16.5" customHeight="1" x14ac:dyDescent="0.3"/>
    <row r="156" ht="16.5" customHeight="1" x14ac:dyDescent="0.3"/>
    <row r="157" ht="16.5" customHeight="1" x14ac:dyDescent="0.3"/>
    <row r="158" ht="16.5" customHeight="1" x14ac:dyDescent="0.3"/>
    <row r="159" ht="16.5" customHeight="1" x14ac:dyDescent="0.3"/>
    <row r="160" ht="16.5" customHeight="1" x14ac:dyDescent="0.3"/>
    <row r="161" ht="16.5" customHeight="1" x14ac:dyDescent="0.3"/>
    <row r="162" ht="16.5" customHeight="1" x14ac:dyDescent="0.3"/>
    <row r="163" ht="16.5" customHeight="1" x14ac:dyDescent="0.3"/>
    <row r="164" ht="16.5" customHeight="1" x14ac:dyDescent="0.3"/>
    <row r="165" ht="16.5" customHeight="1" x14ac:dyDescent="0.3"/>
    <row r="166" ht="16.5" customHeight="1" x14ac:dyDescent="0.3"/>
    <row r="167" ht="16.5" customHeight="1" x14ac:dyDescent="0.3"/>
    <row r="168" ht="16.5" customHeight="1" x14ac:dyDescent="0.3"/>
    <row r="169" ht="16.5" customHeight="1" x14ac:dyDescent="0.3"/>
    <row r="170" ht="16.5" customHeight="1" x14ac:dyDescent="0.3"/>
    <row r="171" ht="16.5" customHeight="1" x14ac:dyDescent="0.3"/>
    <row r="172" ht="16.5" customHeight="1" x14ac:dyDescent="0.3"/>
    <row r="173" ht="16.5" customHeight="1" x14ac:dyDescent="0.3"/>
    <row r="174" ht="16.5" customHeight="1" x14ac:dyDescent="0.3"/>
    <row r="175" ht="16.5" customHeight="1" x14ac:dyDescent="0.3"/>
    <row r="176" ht="16.5" customHeight="1" x14ac:dyDescent="0.3"/>
    <row r="177" ht="16.5" customHeight="1" x14ac:dyDescent="0.3"/>
    <row r="178" ht="16.5" customHeight="1" x14ac:dyDescent="0.3"/>
    <row r="179" ht="16.5" customHeight="1" x14ac:dyDescent="0.3"/>
    <row r="180" ht="16.5" customHeight="1" x14ac:dyDescent="0.3"/>
    <row r="181" ht="16.5" customHeight="1" x14ac:dyDescent="0.3"/>
    <row r="182" ht="16.5" customHeight="1" x14ac:dyDescent="0.3"/>
    <row r="183" ht="16.5" customHeight="1" x14ac:dyDescent="0.3"/>
    <row r="184" ht="16.5" customHeight="1" x14ac:dyDescent="0.3"/>
    <row r="185" ht="16.5" customHeight="1" x14ac:dyDescent="0.3"/>
    <row r="186" ht="16.5" customHeight="1" x14ac:dyDescent="0.3"/>
    <row r="187" ht="16.5" customHeight="1" x14ac:dyDescent="0.3"/>
    <row r="188" ht="16.5" customHeight="1" x14ac:dyDescent="0.3"/>
    <row r="189" ht="16.5" customHeight="1" x14ac:dyDescent="0.3"/>
    <row r="190" ht="16.5" customHeight="1" x14ac:dyDescent="0.3"/>
    <row r="191" ht="16.5" customHeight="1" x14ac:dyDescent="0.3"/>
    <row r="192" ht="16.5" customHeight="1" x14ac:dyDescent="0.3"/>
    <row r="193" ht="16.5" customHeight="1" x14ac:dyDescent="0.3"/>
    <row r="194" ht="16.5" customHeight="1" x14ac:dyDescent="0.3"/>
    <row r="195" ht="16.5" customHeight="1" x14ac:dyDescent="0.3"/>
    <row r="196" ht="16.5" customHeight="1" x14ac:dyDescent="0.3"/>
    <row r="197" ht="16.5" customHeight="1" x14ac:dyDescent="0.3"/>
    <row r="198" ht="16.5" customHeight="1" x14ac:dyDescent="0.3"/>
    <row r="199" ht="16.5" customHeight="1" x14ac:dyDescent="0.3"/>
    <row r="200" ht="16.5" customHeight="1" x14ac:dyDescent="0.3"/>
    <row r="201" ht="16.5" customHeight="1" x14ac:dyDescent="0.3"/>
    <row r="202" ht="16.5" customHeight="1" x14ac:dyDescent="0.3"/>
    <row r="203" ht="16.5" customHeight="1" x14ac:dyDescent="0.3"/>
    <row r="204" ht="16.5" customHeight="1" x14ac:dyDescent="0.3"/>
    <row r="205" ht="16.5" customHeight="1" x14ac:dyDescent="0.3"/>
    <row r="206" ht="16.5" customHeight="1" x14ac:dyDescent="0.3"/>
    <row r="207" ht="16.5" customHeight="1" x14ac:dyDescent="0.3"/>
    <row r="208" ht="16.5" customHeight="1" x14ac:dyDescent="0.3"/>
    <row r="209" ht="16.5" customHeight="1" x14ac:dyDescent="0.3"/>
    <row r="210" ht="16.5" customHeight="1" x14ac:dyDescent="0.3"/>
    <row r="211" ht="16.5" customHeight="1" x14ac:dyDescent="0.3"/>
    <row r="212" ht="16.5" customHeight="1" x14ac:dyDescent="0.3"/>
    <row r="213" ht="16.5" customHeight="1" x14ac:dyDescent="0.3"/>
    <row r="214" ht="16.5" customHeight="1" x14ac:dyDescent="0.3"/>
    <row r="215" ht="16.5" customHeight="1" x14ac:dyDescent="0.3"/>
    <row r="216" ht="16.5" customHeight="1" x14ac:dyDescent="0.3"/>
    <row r="217" ht="16.5" customHeight="1" x14ac:dyDescent="0.3"/>
    <row r="218" ht="16.5" customHeight="1" x14ac:dyDescent="0.3"/>
    <row r="219" ht="16.5" customHeight="1" x14ac:dyDescent="0.3"/>
    <row r="220" ht="16.5" customHeight="1" x14ac:dyDescent="0.3"/>
    <row r="221" ht="16.5" customHeight="1" x14ac:dyDescent="0.3"/>
    <row r="222" ht="16.5" customHeight="1" x14ac:dyDescent="0.3"/>
    <row r="223" ht="16.5" customHeight="1" x14ac:dyDescent="0.3"/>
    <row r="224" ht="16.5" customHeight="1" x14ac:dyDescent="0.3"/>
    <row r="225" ht="16.5" customHeight="1" x14ac:dyDescent="0.3"/>
    <row r="226" ht="16.5" customHeight="1" x14ac:dyDescent="0.3"/>
    <row r="227" ht="16.5" customHeight="1" x14ac:dyDescent="0.3"/>
    <row r="228" ht="16.5" customHeight="1" x14ac:dyDescent="0.3"/>
    <row r="229" ht="16.5" customHeight="1" x14ac:dyDescent="0.3"/>
    <row r="230" ht="16.5" customHeight="1" x14ac:dyDescent="0.3"/>
    <row r="231" ht="16.5" customHeight="1" x14ac:dyDescent="0.3"/>
    <row r="232" ht="16.5" customHeight="1" x14ac:dyDescent="0.3"/>
    <row r="233" ht="16.5" customHeight="1" x14ac:dyDescent="0.3"/>
    <row r="234" ht="16.5" customHeight="1" x14ac:dyDescent="0.3"/>
    <row r="235" ht="16.5" customHeight="1" x14ac:dyDescent="0.3"/>
    <row r="236" ht="16.5" customHeight="1" x14ac:dyDescent="0.3"/>
    <row r="237" ht="16.5" customHeight="1" x14ac:dyDescent="0.3"/>
    <row r="238" ht="16.5" customHeight="1" x14ac:dyDescent="0.3"/>
    <row r="239" ht="16.5" customHeight="1" x14ac:dyDescent="0.3"/>
    <row r="240" ht="16.5" customHeight="1" x14ac:dyDescent="0.3"/>
    <row r="241" ht="16.5" customHeight="1" x14ac:dyDescent="0.3"/>
    <row r="242" ht="16.5" customHeight="1" x14ac:dyDescent="0.3"/>
    <row r="243" ht="16.5" customHeight="1" x14ac:dyDescent="0.3"/>
    <row r="244" ht="16.5" customHeight="1" x14ac:dyDescent="0.3"/>
    <row r="245" ht="16.5" customHeight="1" x14ac:dyDescent="0.3"/>
    <row r="246" ht="16.5" customHeight="1" x14ac:dyDescent="0.3"/>
    <row r="247" ht="16.5" customHeight="1" x14ac:dyDescent="0.3"/>
    <row r="248" ht="16.5" customHeight="1" x14ac:dyDescent="0.3"/>
    <row r="249" ht="16.5" customHeight="1" x14ac:dyDescent="0.3"/>
    <row r="250" ht="16.5" customHeight="1" x14ac:dyDescent="0.3"/>
    <row r="251" ht="16.5" customHeight="1" x14ac:dyDescent="0.3"/>
    <row r="252" ht="16.5" customHeight="1" x14ac:dyDescent="0.3"/>
    <row r="253" ht="16.5" customHeight="1" x14ac:dyDescent="0.3"/>
    <row r="254" ht="16.5" customHeight="1" x14ac:dyDescent="0.3"/>
    <row r="255" ht="16.5" customHeight="1" x14ac:dyDescent="0.3"/>
    <row r="256" ht="16.5" customHeight="1" x14ac:dyDescent="0.3"/>
    <row r="257" ht="16.5" customHeight="1" x14ac:dyDescent="0.3"/>
    <row r="258" ht="16.5" customHeight="1" x14ac:dyDescent="0.3"/>
    <row r="259" ht="16.5" customHeight="1" x14ac:dyDescent="0.3"/>
    <row r="260" ht="16.5" customHeight="1" x14ac:dyDescent="0.3"/>
    <row r="261" ht="16.5" customHeight="1" x14ac:dyDescent="0.3"/>
    <row r="262" ht="16.5" customHeight="1" x14ac:dyDescent="0.3"/>
    <row r="263" ht="16.5" customHeight="1" x14ac:dyDescent="0.3"/>
    <row r="264" ht="16.5" customHeight="1" x14ac:dyDescent="0.3"/>
    <row r="265" ht="16.5" customHeight="1" x14ac:dyDescent="0.3"/>
    <row r="266" ht="16.5" customHeight="1" x14ac:dyDescent="0.3"/>
    <row r="267" ht="16.5" customHeight="1" x14ac:dyDescent="0.3"/>
    <row r="268" ht="16.5" customHeight="1" x14ac:dyDescent="0.3"/>
    <row r="269" ht="16.5" customHeight="1" x14ac:dyDescent="0.3"/>
    <row r="270" ht="16.5" customHeight="1" x14ac:dyDescent="0.3"/>
    <row r="271" ht="16.5" customHeight="1" x14ac:dyDescent="0.3"/>
    <row r="272" ht="16.5" customHeight="1" x14ac:dyDescent="0.3"/>
    <row r="273" ht="16.5" customHeight="1" x14ac:dyDescent="0.3"/>
    <row r="274" ht="16.5" customHeight="1" x14ac:dyDescent="0.3"/>
    <row r="275" ht="16.5" customHeight="1" x14ac:dyDescent="0.3"/>
    <row r="276" ht="16.5" customHeight="1" x14ac:dyDescent="0.3"/>
    <row r="277" ht="16.5" customHeight="1" x14ac:dyDescent="0.3"/>
    <row r="278" ht="16.5" customHeight="1" x14ac:dyDescent="0.3"/>
    <row r="279" ht="16.5" customHeight="1" x14ac:dyDescent="0.3"/>
    <row r="280" ht="16.5" customHeight="1" x14ac:dyDescent="0.3"/>
    <row r="281" ht="16.5" customHeight="1" x14ac:dyDescent="0.3"/>
    <row r="282" ht="16.5" customHeight="1" x14ac:dyDescent="0.3"/>
    <row r="283" ht="16.5" customHeight="1" x14ac:dyDescent="0.3"/>
    <row r="284" ht="16.5" customHeight="1" x14ac:dyDescent="0.3"/>
    <row r="285" ht="16.5" customHeight="1" x14ac:dyDescent="0.3"/>
    <row r="286" ht="16.5" customHeight="1" x14ac:dyDescent="0.3"/>
    <row r="287" ht="16.5" customHeight="1" x14ac:dyDescent="0.3"/>
    <row r="288" ht="16.5" customHeight="1" x14ac:dyDescent="0.3"/>
    <row r="289" ht="16.5" customHeight="1" x14ac:dyDescent="0.3"/>
    <row r="290" ht="16.5" customHeight="1" x14ac:dyDescent="0.3"/>
    <row r="291" ht="16.5" customHeight="1" x14ac:dyDescent="0.3"/>
    <row r="292" ht="16.5" customHeight="1" x14ac:dyDescent="0.3"/>
    <row r="293" ht="16.5" customHeight="1" x14ac:dyDescent="0.3"/>
    <row r="294" ht="16.5" customHeight="1" x14ac:dyDescent="0.3"/>
    <row r="295" ht="16.5" customHeight="1" x14ac:dyDescent="0.3"/>
    <row r="296" ht="16.5" customHeight="1" x14ac:dyDescent="0.3"/>
    <row r="297" ht="16.5" customHeight="1" x14ac:dyDescent="0.3"/>
    <row r="298" ht="16.5" customHeight="1" x14ac:dyDescent="0.3"/>
    <row r="299" ht="16.5" customHeight="1" x14ac:dyDescent="0.3"/>
    <row r="300" ht="16.5" customHeight="1" x14ac:dyDescent="0.3"/>
    <row r="301" ht="16.5" customHeight="1" x14ac:dyDescent="0.3"/>
    <row r="302" ht="16.5" customHeight="1" x14ac:dyDescent="0.3"/>
    <row r="303" ht="16.5" customHeight="1" x14ac:dyDescent="0.3"/>
    <row r="304" ht="16.5" customHeight="1" x14ac:dyDescent="0.3"/>
    <row r="305" ht="16.5" customHeight="1" x14ac:dyDescent="0.3"/>
    <row r="306" ht="16.5" customHeight="1" x14ac:dyDescent="0.3"/>
    <row r="307" ht="16.5" customHeight="1" x14ac:dyDescent="0.3"/>
    <row r="308" ht="16.5" customHeight="1" x14ac:dyDescent="0.3"/>
    <row r="309" ht="16.5" customHeight="1" x14ac:dyDescent="0.3"/>
    <row r="310" ht="16.5" customHeight="1" x14ac:dyDescent="0.3"/>
    <row r="311" ht="16.5" customHeight="1" x14ac:dyDescent="0.3"/>
    <row r="312" ht="16.5" customHeight="1" x14ac:dyDescent="0.3"/>
    <row r="313" ht="16.5" customHeight="1" x14ac:dyDescent="0.3"/>
    <row r="314" ht="16.5" customHeight="1" x14ac:dyDescent="0.3"/>
    <row r="315" ht="16.5" customHeight="1" x14ac:dyDescent="0.3"/>
    <row r="316" ht="16.5" customHeight="1" x14ac:dyDescent="0.3"/>
    <row r="317" ht="16.5" customHeight="1" x14ac:dyDescent="0.3"/>
    <row r="318" ht="16.5" customHeight="1" x14ac:dyDescent="0.3"/>
    <row r="319" ht="16.5" customHeight="1" x14ac:dyDescent="0.3"/>
    <row r="320" ht="16.5" customHeight="1" x14ac:dyDescent="0.3"/>
    <row r="321" ht="16.5" customHeight="1" x14ac:dyDescent="0.3"/>
    <row r="322" ht="16.5" customHeight="1" x14ac:dyDescent="0.3"/>
    <row r="323" ht="16.5" customHeight="1" x14ac:dyDescent="0.3"/>
    <row r="324" ht="16.5" customHeight="1" x14ac:dyDescent="0.3"/>
    <row r="325" ht="16.5" customHeight="1" x14ac:dyDescent="0.3"/>
    <row r="326" ht="16.5" customHeight="1" x14ac:dyDescent="0.3"/>
    <row r="327" ht="16.5" customHeight="1" x14ac:dyDescent="0.3"/>
    <row r="328" ht="16.5" customHeight="1" x14ac:dyDescent="0.3"/>
    <row r="329" ht="16.5" customHeight="1" x14ac:dyDescent="0.3"/>
    <row r="330" ht="16.5" customHeight="1" x14ac:dyDescent="0.3"/>
    <row r="331" ht="16.5" customHeight="1" x14ac:dyDescent="0.3"/>
    <row r="332" ht="16.5" customHeight="1" x14ac:dyDescent="0.3"/>
    <row r="333" ht="16.5" customHeight="1" x14ac:dyDescent="0.3"/>
    <row r="334" ht="16.5" customHeight="1" x14ac:dyDescent="0.3"/>
    <row r="335" ht="16.5" customHeight="1" x14ac:dyDescent="0.3"/>
    <row r="336" ht="16.5" customHeight="1" x14ac:dyDescent="0.3"/>
    <row r="337" ht="16.5" customHeight="1" x14ac:dyDescent="0.3"/>
    <row r="338" ht="16.5" customHeight="1" x14ac:dyDescent="0.3"/>
    <row r="339" ht="16.5" customHeight="1" x14ac:dyDescent="0.3"/>
    <row r="340" ht="16.5" customHeight="1" x14ac:dyDescent="0.3"/>
    <row r="341" ht="16.5" customHeight="1" x14ac:dyDescent="0.3"/>
    <row r="342" ht="16.5" customHeight="1" x14ac:dyDescent="0.3"/>
    <row r="343" ht="16.5" customHeight="1" x14ac:dyDescent="0.3"/>
    <row r="344" ht="16.5" customHeight="1" x14ac:dyDescent="0.3"/>
    <row r="345" ht="16.5" customHeight="1" x14ac:dyDescent="0.3"/>
    <row r="346" ht="16.5" customHeight="1" x14ac:dyDescent="0.3"/>
    <row r="347" ht="16.5" customHeight="1" x14ac:dyDescent="0.3"/>
    <row r="348" ht="16.5" customHeight="1" x14ac:dyDescent="0.3"/>
    <row r="349" ht="16.5" customHeight="1" x14ac:dyDescent="0.3"/>
    <row r="350" ht="16.5" customHeight="1" x14ac:dyDescent="0.3"/>
    <row r="351" ht="16.5" customHeight="1" x14ac:dyDescent="0.3"/>
    <row r="352" ht="16.5" customHeight="1" x14ac:dyDescent="0.3"/>
    <row r="353" ht="16.5" customHeight="1" x14ac:dyDescent="0.3"/>
    <row r="354" ht="16.5" customHeight="1" x14ac:dyDescent="0.3"/>
    <row r="355" ht="16.5" customHeight="1" x14ac:dyDescent="0.3"/>
    <row r="356" ht="16.5" customHeight="1" x14ac:dyDescent="0.3"/>
    <row r="357" ht="16.5" customHeight="1" x14ac:dyDescent="0.3"/>
    <row r="358" ht="16.5" customHeight="1" x14ac:dyDescent="0.3"/>
    <row r="359" ht="16.5" customHeight="1" x14ac:dyDescent="0.3"/>
    <row r="360" ht="16.5" customHeight="1" x14ac:dyDescent="0.3"/>
    <row r="361" ht="16.5" customHeight="1" x14ac:dyDescent="0.3"/>
    <row r="362" ht="16.5" customHeight="1" x14ac:dyDescent="0.3"/>
    <row r="363" ht="16.5" customHeight="1" x14ac:dyDescent="0.3"/>
    <row r="364" ht="16.5" customHeight="1" x14ac:dyDescent="0.3"/>
    <row r="365" ht="16.5" customHeight="1" x14ac:dyDescent="0.3"/>
    <row r="366" ht="16.5" customHeight="1" x14ac:dyDescent="0.3"/>
    <row r="367" ht="16.5" customHeight="1" x14ac:dyDescent="0.3"/>
    <row r="368" ht="16.5" customHeight="1" x14ac:dyDescent="0.3"/>
    <row r="369" ht="16.5" customHeight="1" x14ac:dyDescent="0.3"/>
    <row r="370" ht="16.5" customHeight="1" x14ac:dyDescent="0.3"/>
    <row r="371" ht="16.5" customHeight="1" x14ac:dyDescent="0.3"/>
    <row r="372" ht="16.5" customHeight="1" x14ac:dyDescent="0.3"/>
    <row r="373" ht="16.5" customHeight="1" x14ac:dyDescent="0.3"/>
    <row r="374" ht="16.5" customHeight="1" x14ac:dyDescent="0.3"/>
    <row r="375" ht="16.5" customHeight="1" x14ac:dyDescent="0.3"/>
    <row r="376" ht="16.5" customHeight="1" x14ac:dyDescent="0.3"/>
    <row r="377" ht="16.5" customHeight="1" x14ac:dyDescent="0.3"/>
    <row r="378" ht="16.5" customHeight="1" x14ac:dyDescent="0.3"/>
    <row r="379" ht="16.5" customHeight="1" x14ac:dyDescent="0.3"/>
    <row r="380" ht="16.5" customHeight="1" x14ac:dyDescent="0.3"/>
    <row r="381" ht="16.5" customHeight="1" x14ac:dyDescent="0.3"/>
    <row r="382" ht="16.5" customHeight="1" x14ac:dyDescent="0.3"/>
    <row r="383" ht="16.5" customHeight="1" x14ac:dyDescent="0.3"/>
    <row r="384" ht="16.5" customHeight="1" x14ac:dyDescent="0.3"/>
    <row r="385" ht="16.5" customHeight="1" x14ac:dyDescent="0.3"/>
    <row r="386" ht="16.5" customHeight="1" x14ac:dyDescent="0.3"/>
    <row r="387" ht="16.5" customHeight="1" x14ac:dyDescent="0.3"/>
    <row r="388" ht="16.5" customHeight="1" x14ac:dyDescent="0.3"/>
    <row r="389" ht="16.5" customHeight="1" x14ac:dyDescent="0.3"/>
    <row r="390" ht="16.5" customHeight="1" x14ac:dyDescent="0.3"/>
    <row r="391" ht="16.5" customHeight="1" x14ac:dyDescent="0.3"/>
    <row r="392" ht="16.5" customHeight="1" x14ac:dyDescent="0.3"/>
    <row r="393" ht="16.5" customHeight="1" x14ac:dyDescent="0.3"/>
    <row r="394" ht="16.5" customHeight="1" x14ac:dyDescent="0.3"/>
    <row r="395" ht="16.5" customHeight="1" x14ac:dyDescent="0.3"/>
    <row r="396" ht="16.5" customHeight="1" x14ac:dyDescent="0.3"/>
    <row r="397" ht="16.5" customHeight="1" x14ac:dyDescent="0.3"/>
    <row r="398" ht="16.5" customHeight="1" x14ac:dyDescent="0.3"/>
    <row r="399" ht="16.5" customHeight="1" x14ac:dyDescent="0.3"/>
    <row r="400" ht="16.5" customHeight="1" x14ac:dyDescent="0.3"/>
    <row r="401" ht="16.5" customHeight="1" x14ac:dyDescent="0.3"/>
    <row r="402" ht="16.5" customHeight="1" x14ac:dyDescent="0.3"/>
    <row r="403" ht="16.5" customHeight="1" x14ac:dyDescent="0.3"/>
    <row r="404" ht="16.5" customHeight="1" x14ac:dyDescent="0.3"/>
    <row r="405" ht="16.5" customHeight="1" x14ac:dyDescent="0.3"/>
    <row r="406" ht="16.5" customHeight="1" x14ac:dyDescent="0.3"/>
    <row r="407" ht="16.5" customHeight="1" x14ac:dyDescent="0.3"/>
    <row r="408" ht="16.5" customHeight="1" x14ac:dyDescent="0.3"/>
    <row r="409" ht="16.5" customHeight="1" x14ac:dyDescent="0.3"/>
    <row r="410" ht="16.5" customHeight="1" x14ac:dyDescent="0.3"/>
    <row r="411" ht="16.5" customHeight="1" x14ac:dyDescent="0.3"/>
    <row r="412" ht="16.5" customHeight="1" x14ac:dyDescent="0.3"/>
    <row r="413" ht="16.5" customHeight="1" x14ac:dyDescent="0.3"/>
    <row r="414" ht="16.5" customHeight="1" x14ac:dyDescent="0.3"/>
    <row r="415" ht="16.5" customHeight="1" x14ac:dyDescent="0.3"/>
    <row r="416" ht="16.5" customHeight="1" x14ac:dyDescent="0.3"/>
    <row r="417" ht="16.5" customHeight="1" x14ac:dyDescent="0.3"/>
    <row r="418" ht="16.5" customHeight="1" x14ac:dyDescent="0.3"/>
    <row r="419" ht="16.5" customHeight="1" x14ac:dyDescent="0.3"/>
    <row r="420" ht="16.5" customHeight="1" x14ac:dyDescent="0.3"/>
    <row r="421" ht="16.5" customHeight="1" x14ac:dyDescent="0.3"/>
    <row r="422" ht="16.5" customHeight="1" x14ac:dyDescent="0.3"/>
    <row r="423" ht="16.5" customHeight="1" x14ac:dyDescent="0.3"/>
    <row r="424" ht="16.5" customHeight="1" x14ac:dyDescent="0.3"/>
    <row r="425" ht="16.5" customHeight="1" x14ac:dyDescent="0.3"/>
    <row r="426" ht="16.5" customHeight="1" x14ac:dyDescent="0.3"/>
    <row r="427" ht="16.5" customHeight="1" x14ac:dyDescent="0.3"/>
    <row r="428" ht="16.5" customHeight="1" x14ac:dyDescent="0.3"/>
    <row r="429" ht="16.5" customHeight="1" x14ac:dyDescent="0.3"/>
    <row r="430" ht="16.5" customHeight="1" x14ac:dyDescent="0.3"/>
    <row r="431" ht="16.5" customHeight="1" x14ac:dyDescent="0.3"/>
    <row r="432" ht="16.5" customHeight="1" x14ac:dyDescent="0.3"/>
    <row r="433" ht="16.5" customHeight="1" x14ac:dyDescent="0.3"/>
    <row r="434" ht="16.5" customHeight="1" x14ac:dyDescent="0.3"/>
    <row r="435" ht="16.5" customHeight="1" x14ac:dyDescent="0.3"/>
    <row r="436" ht="16.5" customHeight="1" x14ac:dyDescent="0.3"/>
    <row r="437" ht="16.5" customHeight="1" x14ac:dyDescent="0.3"/>
    <row r="438" ht="16.5" customHeight="1" x14ac:dyDescent="0.3"/>
    <row r="439" ht="16.5" customHeight="1" x14ac:dyDescent="0.3"/>
    <row r="440" ht="16.5" customHeight="1" x14ac:dyDescent="0.3"/>
    <row r="441" ht="16.5" customHeight="1" x14ac:dyDescent="0.3"/>
    <row r="442" ht="16.5" customHeight="1" x14ac:dyDescent="0.3"/>
    <row r="443" ht="16.5" customHeight="1" x14ac:dyDescent="0.3"/>
    <row r="444" ht="16.5" customHeight="1" x14ac:dyDescent="0.3"/>
    <row r="445" ht="16.5" customHeight="1" x14ac:dyDescent="0.3"/>
    <row r="446" ht="16.5" customHeight="1" x14ac:dyDescent="0.3"/>
    <row r="447" ht="16.5" customHeight="1" x14ac:dyDescent="0.3"/>
    <row r="448" ht="16.5" customHeight="1" x14ac:dyDescent="0.3"/>
    <row r="449" ht="16.5" customHeight="1" x14ac:dyDescent="0.3"/>
    <row r="450" ht="16.5" customHeight="1" x14ac:dyDescent="0.3"/>
    <row r="451" ht="16.5" customHeight="1" x14ac:dyDescent="0.3"/>
    <row r="452" ht="16.5" customHeight="1" x14ac:dyDescent="0.3"/>
    <row r="453" ht="16.5" customHeight="1" x14ac:dyDescent="0.3"/>
    <row r="454" ht="16.5" customHeight="1" x14ac:dyDescent="0.3"/>
    <row r="455" ht="16.5" customHeight="1" x14ac:dyDescent="0.3"/>
    <row r="456" ht="16.5" customHeight="1" x14ac:dyDescent="0.3"/>
    <row r="457" ht="16.5" customHeight="1" x14ac:dyDescent="0.3"/>
    <row r="458" ht="16.5" customHeight="1" x14ac:dyDescent="0.3"/>
    <row r="459" ht="16.5" customHeight="1" x14ac:dyDescent="0.3"/>
    <row r="460" ht="16.5" customHeight="1" x14ac:dyDescent="0.3"/>
    <row r="461" ht="16.5" customHeight="1" x14ac:dyDescent="0.3"/>
    <row r="462" ht="16.5" customHeight="1" x14ac:dyDescent="0.3"/>
    <row r="463" ht="16.5" customHeight="1" x14ac:dyDescent="0.3"/>
    <row r="464" ht="16.5" customHeight="1" x14ac:dyDescent="0.3"/>
    <row r="465" ht="16.5" customHeight="1" x14ac:dyDescent="0.3"/>
    <row r="466" ht="16.5" customHeight="1" x14ac:dyDescent="0.3"/>
    <row r="467" ht="16.5" customHeight="1" x14ac:dyDescent="0.3"/>
    <row r="468" ht="16.5" customHeight="1" x14ac:dyDescent="0.3"/>
    <row r="469" ht="16.5" customHeight="1" x14ac:dyDescent="0.3"/>
    <row r="470" ht="16.5" customHeight="1" x14ac:dyDescent="0.3"/>
    <row r="471" ht="16.5" customHeight="1" x14ac:dyDescent="0.3"/>
    <row r="472" ht="16.5" customHeight="1" x14ac:dyDescent="0.3"/>
    <row r="473" ht="16.5" customHeight="1" x14ac:dyDescent="0.3"/>
    <row r="474" ht="16.5" customHeight="1" x14ac:dyDescent="0.3"/>
    <row r="475" ht="16.5" customHeight="1" x14ac:dyDescent="0.3"/>
    <row r="476" ht="16.5" customHeight="1" x14ac:dyDescent="0.3"/>
    <row r="477" ht="16.5" customHeight="1" x14ac:dyDescent="0.3"/>
    <row r="478" ht="16.5" customHeight="1" x14ac:dyDescent="0.3"/>
    <row r="479" ht="16.5" customHeight="1" x14ac:dyDescent="0.3"/>
    <row r="480" ht="16.5" customHeight="1" x14ac:dyDescent="0.3"/>
    <row r="481" ht="16.5" customHeight="1" x14ac:dyDescent="0.3"/>
    <row r="482" ht="16.5" customHeight="1" x14ac:dyDescent="0.3"/>
    <row r="483" ht="16.5" customHeight="1" x14ac:dyDescent="0.3"/>
    <row r="484" ht="16.5" customHeight="1" x14ac:dyDescent="0.3"/>
    <row r="485" ht="16.5" customHeight="1" x14ac:dyDescent="0.3"/>
    <row r="486" ht="16.5" customHeight="1" x14ac:dyDescent="0.3"/>
    <row r="487" ht="16.5" customHeight="1" x14ac:dyDescent="0.3"/>
    <row r="488" ht="16.5" customHeight="1" x14ac:dyDescent="0.3"/>
    <row r="489" ht="16.5" customHeight="1" x14ac:dyDescent="0.3"/>
    <row r="490" ht="16.5" customHeight="1" x14ac:dyDescent="0.3"/>
    <row r="491" ht="16.5" customHeight="1" x14ac:dyDescent="0.3"/>
    <row r="492" ht="16.5" customHeight="1" x14ac:dyDescent="0.3"/>
    <row r="493" ht="16.5" customHeight="1" x14ac:dyDescent="0.3"/>
    <row r="494" ht="16.5" customHeight="1" x14ac:dyDescent="0.3"/>
    <row r="495" ht="16.5" customHeight="1" x14ac:dyDescent="0.3"/>
    <row r="496" ht="16.5" customHeight="1" x14ac:dyDescent="0.3"/>
    <row r="497" ht="16.5" customHeight="1" x14ac:dyDescent="0.3"/>
    <row r="498" ht="16.5" customHeight="1" x14ac:dyDescent="0.3"/>
    <row r="499" ht="16.5" customHeight="1" x14ac:dyDescent="0.3"/>
    <row r="500" ht="16.5" customHeight="1" x14ac:dyDescent="0.3"/>
    <row r="501" ht="16.5" customHeight="1" x14ac:dyDescent="0.3"/>
    <row r="502" ht="16.5" customHeight="1" x14ac:dyDescent="0.3"/>
    <row r="503" ht="16.5" customHeight="1" x14ac:dyDescent="0.3"/>
    <row r="504" ht="16.5" customHeight="1" x14ac:dyDescent="0.3"/>
    <row r="505" ht="16.5" customHeight="1" x14ac:dyDescent="0.3"/>
    <row r="506" ht="16.5" customHeight="1" x14ac:dyDescent="0.3"/>
    <row r="507" ht="16.5" customHeight="1" x14ac:dyDescent="0.3"/>
    <row r="508" ht="16.5" customHeight="1" x14ac:dyDescent="0.3"/>
    <row r="509" ht="16.5" customHeight="1" x14ac:dyDescent="0.3"/>
    <row r="510" ht="16.5" customHeight="1" x14ac:dyDescent="0.3"/>
    <row r="511" ht="16.5" customHeight="1" x14ac:dyDescent="0.3"/>
    <row r="512" ht="16.5" customHeight="1" x14ac:dyDescent="0.3"/>
    <row r="513" ht="16.5" customHeight="1" x14ac:dyDescent="0.3"/>
    <row r="514" ht="16.5" customHeight="1" x14ac:dyDescent="0.3"/>
    <row r="515" ht="16.5" customHeight="1" x14ac:dyDescent="0.3"/>
    <row r="516" ht="16.5" customHeight="1" x14ac:dyDescent="0.3"/>
    <row r="517" ht="16.5" customHeight="1" x14ac:dyDescent="0.3"/>
    <row r="518" ht="16.5" customHeight="1" x14ac:dyDescent="0.3"/>
    <row r="519" ht="16.5" customHeight="1" x14ac:dyDescent="0.3"/>
    <row r="520" ht="16.5" customHeight="1" x14ac:dyDescent="0.3"/>
    <row r="521" ht="16.5" customHeight="1" x14ac:dyDescent="0.3"/>
    <row r="522" ht="16.5" customHeight="1" x14ac:dyDescent="0.3"/>
    <row r="523" ht="16.5" customHeight="1" x14ac:dyDescent="0.3"/>
    <row r="524" ht="16.5" customHeight="1" x14ac:dyDescent="0.3"/>
    <row r="525" ht="16.5" customHeight="1" x14ac:dyDescent="0.3"/>
    <row r="526" ht="16.5" customHeight="1" x14ac:dyDescent="0.3"/>
    <row r="527" ht="16.5" customHeight="1" x14ac:dyDescent="0.3"/>
    <row r="528" ht="16.5" customHeight="1" x14ac:dyDescent="0.3"/>
    <row r="529" ht="16.5" customHeight="1" x14ac:dyDescent="0.3"/>
    <row r="530" ht="16.5" customHeight="1" x14ac:dyDescent="0.3"/>
    <row r="531" ht="16.5" customHeight="1" x14ac:dyDescent="0.3"/>
    <row r="532" ht="16.5" customHeight="1" x14ac:dyDescent="0.3"/>
    <row r="533" ht="16.5" customHeight="1" x14ac:dyDescent="0.3"/>
    <row r="534" ht="16.5" customHeight="1" x14ac:dyDescent="0.3"/>
    <row r="535" ht="16.5" customHeight="1" x14ac:dyDescent="0.3"/>
    <row r="536" ht="16.5" customHeight="1" x14ac:dyDescent="0.3"/>
    <row r="537" ht="16.5" customHeight="1" x14ac:dyDescent="0.3"/>
    <row r="538" ht="16.5" customHeight="1" x14ac:dyDescent="0.3"/>
    <row r="539" ht="16.5" customHeight="1" x14ac:dyDescent="0.3"/>
    <row r="540" ht="16.5" customHeight="1" x14ac:dyDescent="0.3"/>
    <row r="541" ht="16.5" customHeight="1" x14ac:dyDescent="0.3"/>
    <row r="542" ht="16.5" customHeight="1" x14ac:dyDescent="0.3"/>
    <row r="543" ht="16.5" customHeight="1" x14ac:dyDescent="0.3"/>
    <row r="544" ht="16.5" customHeight="1" x14ac:dyDescent="0.3"/>
    <row r="545" ht="16.5" customHeight="1" x14ac:dyDescent="0.3"/>
    <row r="546" ht="16.5" customHeight="1" x14ac:dyDescent="0.3"/>
    <row r="547" ht="16.5" customHeight="1" x14ac:dyDescent="0.3"/>
    <row r="548" ht="16.5" customHeight="1" x14ac:dyDescent="0.3"/>
    <row r="549" ht="16.5" customHeight="1" x14ac:dyDescent="0.3"/>
    <row r="550" ht="16.5" customHeight="1" x14ac:dyDescent="0.3"/>
    <row r="551" ht="16.5" customHeight="1" x14ac:dyDescent="0.3"/>
    <row r="552" ht="16.5" customHeight="1" x14ac:dyDescent="0.3"/>
    <row r="553" ht="16.5" customHeight="1" x14ac:dyDescent="0.3"/>
    <row r="554" ht="16.5" customHeight="1" x14ac:dyDescent="0.3"/>
    <row r="555" ht="16.5" customHeight="1" x14ac:dyDescent="0.3"/>
    <row r="556" ht="16.5" customHeight="1" x14ac:dyDescent="0.3"/>
    <row r="557" ht="16.5" customHeight="1" x14ac:dyDescent="0.3"/>
    <row r="558" ht="16.5" customHeight="1" x14ac:dyDescent="0.3"/>
    <row r="559" ht="16.5" customHeight="1" x14ac:dyDescent="0.3"/>
    <row r="560" ht="16.5" customHeight="1" x14ac:dyDescent="0.3"/>
    <row r="561" ht="16.5" customHeight="1" x14ac:dyDescent="0.3"/>
    <row r="562" ht="16.5" customHeight="1" x14ac:dyDescent="0.3"/>
    <row r="563" ht="16.5" customHeight="1" x14ac:dyDescent="0.3"/>
    <row r="564" ht="16.5" customHeight="1" x14ac:dyDescent="0.3"/>
    <row r="565" ht="16.5" customHeight="1" x14ac:dyDescent="0.3"/>
    <row r="566" ht="16.5" customHeight="1" x14ac:dyDescent="0.3"/>
    <row r="567" ht="16.5" customHeight="1" x14ac:dyDescent="0.3"/>
    <row r="568" ht="16.5" customHeight="1" x14ac:dyDescent="0.3"/>
    <row r="569" ht="16.5" customHeight="1" x14ac:dyDescent="0.3"/>
    <row r="570" ht="16.5" customHeight="1" x14ac:dyDescent="0.3"/>
    <row r="571" ht="16.5" customHeight="1" x14ac:dyDescent="0.3"/>
    <row r="572" ht="16.5" customHeight="1" x14ac:dyDescent="0.3"/>
    <row r="573" ht="16.5" customHeight="1" x14ac:dyDescent="0.3"/>
    <row r="574" ht="16.5" customHeight="1" x14ac:dyDescent="0.3"/>
    <row r="575" ht="16.5" customHeight="1" x14ac:dyDescent="0.3"/>
    <row r="576" ht="16.5" customHeight="1" x14ac:dyDescent="0.3"/>
    <row r="577" ht="16.5" customHeight="1" x14ac:dyDescent="0.3"/>
    <row r="578" ht="16.5" customHeight="1" x14ac:dyDescent="0.3"/>
    <row r="579" ht="16.5" customHeight="1" x14ac:dyDescent="0.3"/>
    <row r="580" ht="16.5" customHeight="1" x14ac:dyDescent="0.3"/>
    <row r="581" ht="16.5" customHeight="1" x14ac:dyDescent="0.3"/>
    <row r="582" ht="16.5" customHeight="1" x14ac:dyDescent="0.3"/>
    <row r="583" ht="16.5" customHeight="1" x14ac:dyDescent="0.3"/>
    <row r="584" ht="16.5" customHeight="1" x14ac:dyDescent="0.3"/>
    <row r="585" ht="16.5" customHeight="1" x14ac:dyDescent="0.3"/>
    <row r="586" ht="16.5" customHeight="1" x14ac:dyDescent="0.3"/>
    <row r="587" ht="16.5" customHeight="1" x14ac:dyDescent="0.3"/>
    <row r="588" ht="16.5" customHeight="1" x14ac:dyDescent="0.3"/>
    <row r="589" ht="16.5" customHeight="1" x14ac:dyDescent="0.3"/>
    <row r="590" ht="16.5" customHeight="1" x14ac:dyDescent="0.3"/>
    <row r="591" ht="16.5" customHeight="1" x14ac:dyDescent="0.3"/>
    <row r="592" ht="16.5" customHeight="1" x14ac:dyDescent="0.3"/>
    <row r="593" ht="16.5" customHeight="1" x14ac:dyDescent="0.3"/>
    <row r="594" ht="16.5" customHeight="1" x14ac:dyDescent="0.3"/>
    <row r="595" ht="16.5" customHeight="1" x14ac:dyDescent="0.3"/>
    <row r="596" ht="16.5" customHeight="1" x14ac:dyDescent="0.3"/>
    <row r="597" ht="16.5" customHeight="1" x14ac:dyDescent="0.3"/>
    <row r="598" ht="16.5" customHeight="1" x14ac:dyDescent="0.3"/>
    <row r="599" ht="16.5" customHeight="1" x14ac:dyDescent="0.3"/>
    <row r="600" ht="16.5" customHeight="1" x14ac:dyDescent="0.3"/>
    <row r="601" ht="16.5" customHeight="1" x14ac:dyDescent="0.3"/>
    <row r="602" ht="16.5" customHeight="1" x14ac:dyDescent="0.3"/>
    <row r="603" ht="16.5" customHeight="1" x14ac:dyDescent="0.3"/>
    <row r="604" ht="16.5" customHeight="1" x14ac:dyDescent="0.3"/>
    <row r="605" ht="16.5" customHeight="1" x14ac:dyDescent="0.3"/>
    <row r="606" ht="16.5" customHeight="1" x14ac:dyDescent="0.3"/>
    <row r="607" ht="16.5" customHeight="1" x14ac:dyDescent="0.3"/>
    <row r="608" ht="16.5" customHeight="1" x14ac:dyDescent="0.3"/>
    <row r="609" ht="16.5" customHeight="1" x14ac:dyDescent="0.3"/>
    <row r="610" ht="16.5" customHeight="1" x14ac:dyDescent="0.3"/>
    <row r="611" ht="16.5" customHeight="1" x14ac:dyDescent="0.3"/>
    <row r="612" ht="16.5" customHeight="1" x14ac:dyDescent="0.3"/>
    <row r="613" ht="16.5" customHeight="1" x14ac:dyDescent="0.3"/>
    <row r="614" ht="16.5" customHeight="1" x14ac:dyDescent="0.3"/>
    <row r="615" ht="16.5" customHeight="1" x14ac:dyDescent="0.3"/>
    <row r="616" ht="16.5" customHeight="1" x14ac:dyDescent="0.3"/>
    <row r="617" ht="16.5" customHeight="1" x14ac:dyDescent="0.3"/>
    <row r="618" ht="16.5" customHeight="1" x14ac:dyDescent="0.3"/>
    <row r="619" ht="16.5" customHeight="1" x14ac:dyDescent="0.3"/>
    <row r="620" ht="16.5" customHeight="1" x14ac:dyDescent="0.3"/>
    <row r="621" ht="16.5" customHeight="1" x14ac:dyDescent="0.3"/>
    <row r="622" ht="16.5" customHeight="1" x14ac:dyDescent="0.3"/>
    <row r="623" ht="16.5" customHeight="1" x14ac:dyDescent="0.3"/>
    <row r="624" ht="16.5" customHeight="1" x14ac:dyDescent="0.3"/>
    <row r="625" ht="16.5" customHeight="1" x14ac:dyDescent="0.3"/>
    <row r="626" ht="16.5" customHeight="1" x14ac:dyDescent="0.3"/>
    <row r="627" ht="16.5" customHeight="1" x14ac:dyDescent="0.3"/>
    <row r="628" ht="16.5" customHeight="1" x14ac:dyDescent="0.3"/>
    <row r="629" ht="16.5" customHeight="1" x14ac:dyDescent="0.3"/>
    <row r="630" ht="16.5" customHeight="1" x14ac:dyDescent="0.3"/>
    <row r="631" ht="16.5" customHeight="1" x14ac:dyDescent="0.3"/>
    <row r="632" ht="16.5" customHeight="1" x14ac:dyDescent="0.3"/>
    <row r="633" ht="16.5" customHeight="1" x14ac:dyDescent="0.3"/>
    <row r="634" ht="16.5" customHeight="1" x14ac:dyDescent="0.3"/>
    <row r="635" ht="16.5" customHeight="1" x14ac:dyDescent="0.3"/>
    <row r="636" ht="16.5" customHeight="1" x14ac:dyDescent="0.3"/>
    <row r="637" ht="16.5" customHeight="1" x14ac:dyDescent="0.3"/>
    <row r="638" ht="16.5" customHeight="1" x14ac:dyDescent="0.3"/>
    <row r="639" ht="16.5" customHeight="1" x14ac:dyDescent="0.3"/>
    <row r="640" ht="16.5" customHeight="1" x14ac:dyDescent="0.3"/>
    <row r="641" ht="16.5" customHeight="1" x14ac:dyDescent="0.3"/>
    <row r="642" ht="16.5" customHeight="1" x14ac:dyDescent="0.3"/>
    <row r="643" ht="16.5" customHeight="1" x14ac:dyDescent="0.3"/>
    <row r="644" ht="16.5" customHeight="1" x14ac:dyDescent="0.3"/>
    <row r="645" ht="16.5" customHeight="1" x14ac:dyDescent="0.3"/>
    <row r="646" ht="16.5" customHeight="1" x14ac:dyDescent="0.3"/>
    <row r="647" ht="16.5" customHeight="1" x14ac:dyDescent="0.3"/>
    <row r="648" ht="16.5" customHeight="1" x14ac:dyDescent="0.3"/>
    <row r="649" ht="16.5" customHeight="1" x14ac:dyDescent="0.3"/>
    <row r="650" ht="16.5" customHeight="1" x14ac:dyDescent="0.3"/>
    <row r="651" ht="16.5" customHeight="1" x14ac:dyDescent="0.3"/>
    <row r="652" ht="16.5" customHeight="1" x14ac:dyDescent="0.3"/>
    <row r="653" ht="16.5" customHeight="1" x14ac:dyDescent="0.3"/>
    <row r="654" ht="16.5" customHeight="1" x14ac:dyDescent="0.3"/>
    <row r="655" ht="16.5" customHeight="1" x14ac:dyDescent="0.3"/>
    <row r="656" ht="16.5" customHeight="1" x14ac:dyDescent="0.3"/>
    <row r="657" ht="16.5" customHeight="1" x14ac:dyDescent="0.3"/>
    <row r="658" ht="16.5" customHeight="1" x14ac:dyDescent="0.3"/>
    <row r="659" ht="16.5" customHeight="1" x14ac:dyDescent="0.3"/>
    <row r="660" ht="16.5" customHeight="1" x14ac:dyDescent="0.3"/>
    <row r="661" ht="16.5" customHeight="1" x14ac:dyDescent="0.3"/>
    <row r="662" ht="16.5" customHeight="1" x14ac:dyDescent="0.3"/>
    <row r="663" ht="16.5" customHeight="1" x14ac:dyDescent="0.3"/>
    <row r="664" ht="16.5" customHeight="1" x14ac:dyDescent="0.3"/>
    <row r="665" ht="16.5" customHeight="1" x14ac:dyDescent="0.3"/>
    <row r="666" ht="16.5" customHeight="1" x14ac:dyDescent="0.3"/>
    <row r="667" ht="16.5" customHeight="1" x14ac:dyDescent="0.3"/>
    <row r="668" ht="16.5" customHeight="1" x14ac:dyDescent="0.3"/>
    <row r="669" ht="16.5" customHeight="1" x14ac:dyDescent="0.3"/>
    <row r="670" ht="16.5" customHeight="1" x14ac:dyDescent="0.3"/>
    <row r="671" ht="16.5" customHeight="1" x14ac:dyDescent="0.3"/>
    <row r="672" ht="16.5" customHeight="1" x14ac:dyDescent="0.3"/>
    <row r="673" ht="16.5" customHeight="1" x14ac:dyDescent="0.3"/>
    <row r="674" ht="16.5" customHeight="1" x14ac:dyDescent="0.3"/>
    <row r="675" ht="16.5" customHeight="1" x14ac:dyDescent="0.3"/>
    <row r="676" ht="16.5" customHeight="1" x14ac:dyDescent="0.3"/>
    <row r="677" ht="16.5" customHeight="1" x14ac:dyDescent="0.3"/>
    <row r="678" ht="16.5" customHeight="1" x14ac:dyDescent="0.3"/>
    <row r="679" ht="16.5" customHeight="1" x14ac:dyDescent="0.3"/>
    <row r="680" ht="16.5" customHeight="1" x14ac:dyDescent="0.3"/>
    <row r="681" ht="16.5" customHeight="1" x14ac:dyDescent="0.3"/>
    <row r="682" ht="16.5" customHeight="1" x14ac:dyDescent="0.3"/>
    <row r="683" ht="16.5" customHeight="1" x14ac:dyDescent="0.3"/>
    <row r="684" ht="16.5" customHeight="1" x14ac:dyDescent="0.3"/>
    <row r="685" ht="16.5" customHeight="1" x14ac:dyDescent="0.3"/>
    <row r="686" ht="16.5" customHeight="1" x14ac:dyDescent="0.3"/>
    <row r="687" ht="16.5" customHeight="1" x14ac:dyDescent="0.3"/>
    <row r="688" ht="16.5" customHeight="1" x14ac:dyDescent="0.3"/>
    <row r="689" ht="16.5" customHeight="1" x14ac:dyDescent="0.3"/>
    <row r="690" ht="16.5" customHeight="1" x14ac:dyDescent="0.3"/>
    <row r="691" ht="16.5" customHeight="1" x14ac:dyDescent="0.3"/>
    <row r="692" ht="16.5" customHeight="1" x14ac:dyDescent="0.3"/>
    <row r="693" ht="16.5" customHeight="1" x14ac:dyDescent="0.3"/>
    <row r="694" ht="16.5" customHeight="1" x14ac:dyDescent="0.3"/>
    <row r="695" ht="16.5" customHeight="1" x14ac:dyDescent="0.3"/>
    <row r="696" ht="16.5" customHeight="1" x14ac:dyDescent="0.3"/>
    <row r="697" ht="16.5" customHeight="1" x14ac:dyDescent="0.3"/>
    <row r="698" ht="16.5" customHeight="1" x14ac:dyDescent="0.3"/>
    <row r="699" ht="16.5" customHeight="1" x14ac:dyDescent="0.3"/>
    <row r="700" ht="16.5" customHeight="1" x14ac:dyDescent="0.3"/>
    <row r="701" ht="16.5" customHeight="1" x14ac:dyDescent="0.3"/>
    <row r="702" ht="16.5" customHeight="1" x14ac:dyDescent="0.3"/>
    <row r="703" ht="16.5" customHeight="1" x14ac:dyDescent="0.3"/>
    <row r="704" ht="16.5" customHeight="1" x14ac:dyDescent="0.3"/>
    <row r="705" ht="16.5" customHeight="1" x14ac:dyDescent="0.3"/>
    <row r="706" ht="16.5" customHeight="1" x14ac:dyDescent="0.3"/>
    <row r="707" ht="16.5" customHeight="1" x14ac:dyDescent="0.3"/>
    <row r="708" ht="16.5" customHeight="1" x14ac:dyDescent="0.3"/>
    <row r="709" ht="16.5" customHeight="1" x14ac:dyDescent="0.3"/>
    <row r="710" ht="16.5" customHeight="1" x14ac:dyDescent="0.3"/>
    <row r="711" ht="16.5" customHeight="1" x14ac:dyDescent="0.3"/>
    <row r="712" ht="16.5" customHeight="1" x14ac:dyDescent="0.3"/>
    <row r="713" ht="16.5" customHeight="1" x14ac:dyDescent="0.3"/>
    <row r="714" ht="16.5" customHeight="1" x14ac:dyDescent="0.3"/>
    <row r="715" ht="16.5" customHeight="1" x14ac:dyDescent="0.3"/>
    <row r="716" ht="16.5" customHeight="1" x14ac:dyDescent="0.3"/>
    <row r="717" ht="16.5" customHeight="1" x14ac:dyDescent="0.3"/>
    <row r="718" ht="16.5" customHeight="1" x14ac:dyDescent="0.3"/>
    <row r="719" ht="16.5" customHeight="1" x14ac:dyDescent="0.3"/>
    <row r="720" ht="16.5" customHeight="1" x14ac:dyDescent="0.3"/>
    <row r="721" ht="16.5" customHeight="1" x14ac:dyDescent="0.3"/>
    <row r="722" ht="16.5" customHeight="1" x14ac:dyDescent="0.3"/>
    <row r="723" ht="16.5" customHeight="1" x14ac:dyDescent="0.3"/>
    <row r="724" ht="16.5" customHeight="1" x14ac:dyDescent="0.3"/>
    <row r="725" ht="16.5" customHeight="1" x14ac:dyDescent="0.3"/>
    <row r="726" ht="16.5" customHeight="1" x14ac:dyDescent="0.3"/>
    <row r="727" ht="16.5" customHeight="1" x14ac:dyDescent="0.3"/>
    <row r="728" ht="16.5" customHeight="1" x14ac:dyDescent="0.3"/>
    <row r="729" ht="16.5" customHeight="1" x14ac:dyDescent="0.3"/>
    <row r="730" ht="16.5" customHeight="1" x14ac:dyDescent="0.3"/>
    <row r="731" ht="16.5" customHeight="1" x14ac:dyDescent="0.3"/>
    <row r="732" ht="16.5" customHeight="1" x14ac:dyDescent="0.3"/>
    <row r="733" ht="16.5" customHeight="1" x14ac:dyDescent="0.3"/>
    <row r="734" ht="16.5" customHeight="1" x14ac:dyDescent="0.3"/>
    <row r="735" ht="16.5" customHeight="1" x14ac:dyDescent="0.3"/>
    <row r="736" ht="16.5" customHeight="1" x14ac:dyDescent="0.3"/>
    <row r="737" ht="16.5" customHeight="1" x14ac:dyDescent="0.3"/>
    <row r="738" ht="16.5" customHeight="1" x14ac:dyDescent="0.3"/>
    <row r="739" ht="16.5" customHeight="1" x14ac:dyDescent="0.3"/>
    <row r="740" ht="16.5" customHeight="1" x14ac:dyDescent="0.3"/>
    <row r="741" ht="16.5" customHeight="1" x14ac:dyDescent="0.3"/>
    <row r="742" ht="16.5" customHeight="1" x14ac:dyDescent="0.3"/>
    <row r="743" ht="16.5" customHeight="1" x14ac:dyDescent="0.3"/>
    <row r="744" ht="16.5" customHeight="1" x14ac:dyDescent="0.3"/>
    <row r="745" ht="16.5" customHeight="1" x14ac:dyDescent="0.3"/>
    <row r="746" ht="16.5" customHeight="1" x14ac:dyDescent="0.3"/>
    <row r="747" ht="16.5" customHeight="1" x14ac:dyDescent="0.3"/>
    <row r="748" ht="16.5" customHeight="1" x14ac:dyDescent="0.3"/>
    <row r="749" ht="16.5" customHeight="1" x14ac:dyDescent="0.3"/>
    <row r="750" ht="16.5" customHeight="1" x14ac:dyDescent="0.3"/>
    <row r="751" ht="16.5" customHeight="1" x14ac:dyDescent="0.3"/>
    <row r="752" ht="16.5" customHeight="1" x14ac:dyDescent="0.3"/>
    <row r="753" ht="16.5" customHeight="1" x14ac:dyDescent="0.3"/>
    <row r="754" ht="16.5" customHeight="1" x14ac:dyDescent="0.3"/>
    <row r="755" ht="16.5" customHeight="1" x14ac:dyDescent="0.3"/>
    <row r="756" ht="16.5" customHeight="1" x14ac:dyDescent="0.3"/>
    <row r="757" ht="16.5" customHeight="1" x14ac:dyDescent="0.3"/>
    <row r="758" ht="16.5" customHeight="1" x14ac:dyDescent="0.3"/>
    <row r="759" ht="16.5" customHeight="1" x14ac:dyDescent="0.3"/>
    <row r="760" ht="16.5" customHeight="1" x14ac:dyDescent="0.3"/>
    <row r="761" ht="16.5" customHeight="1" x14ac:dyDescent="0.3"/>
    <row r="762" ht="16.5" customHeight="1" x14ac:dyDescent="0.3"/>
    <row r="763" ht="16.5" customHeight="1" x14ac:dyDescent="0.3"/>
    <row r="764" ht="16.5" customHeight="1" x14ac:dyDescent="0.3"/>
    <row r="765" ht="16.5" customHeight="1" x14ac:dyDescent="0.3"/>
    <row r="766" ht="16.5" customHeight="1" x14ac:dyDescent="0.3"/>
    <row r="767" ht="16.5" customHeight="1" x14ac:dyDescent="0.3"/>
    <row r="768" ht="16.5" customHeight="1" x14ac:dyDescent="0.3"/>
    <row r="769" ht="16.5" customHeight="1" x14ac:dyDescent="0.3"/>
    <row r="770" ht="16.5" customHeight="1" x14ac:dyDescent="0.3"/>
    <row r="771" ht="16.5" customHeight="1" x14ac:dyDescent="0.3"/>
    <row r="772" ht="16.5" customHeight="1" x14ac:dyDescent="0.3"/>
    <row r="773" ht="16.5" customHeight="1" x14ac:dyDescent="0.3"/>
    <row r="774" ht="16.5" customHeight="1" x14ac:dyDescent="0.3"/>
    <row r="775" ht="16.5" customHeight="1" x14ac:dyDescent="0.3"/>
    <row r="776" ht="16.5" customHeight="1" x14ac:dyDescent="0.3"/>
    <row r="777" ht="16.5" customHeight="1" x14ac:dyDescent="0.3"/>
    <row r="778" ht="16.5" customHeight="1" x14ac:dyDescent="0.3"/>
    <row r="779" ht="16.5" customHeight="1" x14ac:dyDescent="0.3"/>
    <row r="780" ht="16.5" customHeight="1" x14ac:dyDescent="0.3"/>
    <row r="781" ht="16.5" customHeight="1" x14ac:dyDescent="0.3"/>
    <row r="782" ht="16.5" customHeight="1" x14ac:dyDescent="0.3"/>
    <row r="783" ht="16.5" customHeight="1" x14ac:dyDescent="0.3"/>
    <row r="784" ht="16.5" customHeight="1" x14ac:dyDescent="0.3"/>
    <row r="785" ht="16.5" customHeight="1" x14ac:dyDescent="0.3"/>
    <row r="786" ht="16.5" customHeight="1" x14ac:dyDescent="0.3"/>
    <row r="787" ht="16.5" customHeight="1" x14ac:dyDescent="0.3"/>
    <row r="788" ht="16.5" customHeight="1" x14ac:dyDescent="0.3"/>
    <row r="789" ht="16.5" customHeight="1" x14ac:dyDescent="0.3"/>
    <row r="790" ht="16.5" customHeight="1" x14ac:dyDescent="0.3"/>
    <row r="791" ht="16.5" customHeight="1" x14ac:dyDescent="0.3"/>
    <row r="792" ht="16.5" customHeight="1" x14ac:dyDescent="0.3"/>
    <row r="793" ht="16.5" customHeight="1" x14ac:dyDescent="0.3"/>
    <row r="794" ht="16.5" customHeight="1" x14ac:dyDescent="0.3"/>
    <row r="795" ht="16.5" customHeight="1" x14ac:dyDescent="0.3"/>
    <row r="796" ht="16.5" customHeight="1" x14ac:dyDescent="0.3"/>
    <row r="797" ht="16.5" customHeight="1" x14ac:dyDescent="0.3"/>
    <row r="798" ht="16.5" customHeight="1" x14ac:dyDescent="0.3"/>
    <row r="799" ht="16.5" customHeight="1" x14ac:dyDescent="0.3"/>
    <row r="800" ht="16.5" customHeight="1" x14ac:dyDescent="0.3"/>
    <row r="801" ht="16.5" customHeight="1" x14ac:dyDescent="0.3"/>
    <row r="802" ht="16.5" customHeight="1" x14ac:dyDescent="0.3"/>
    <row r="803" ht="16.5" customHeight="1" x14ac:dyDescent="0.3"/>
    <row r="804" ht="16.5" customHeight="1" x14ac:dyDescent="0.3"/>
    <row r="805" ht="16.5" customHeight="1" x14ac:dyDescent="0.3"/>
    <row r="806" ht="16.5" customHeight="1" x14ac:dyDescent="0.3"/>
    <row r="807" ht="16.5" customHeight="1" x14ac:dyDescent="0.3"/>
    <row r="808" ht="16.5" customHeight="1" x14ac:dyDescent="0.3"/>
    <row r="809" ht="16.5" customHeight="1" x14ac:dyDescent="0.3"/>
    <row r="810" ht="16.5" customHeight="1" x14ac:dyDescent="0.3"/>
    <row r="811" ht="16.5" customHeight="1" x14ac:dyDescent="0.3"/>
    <row r="812" ht="16.5" customHeight="1" x14ac:dyDescent="0.3"/>
    <row r="813" ht="16.5" customHeight="1" x14ac:dyDescent="0.3"/>
    <row r="814" ht="16.5" customHeight="1" x14ac:dyDescent="0.3"/>
    <row r="815" ht="16.5" customHeight="1" x14ac:dyDescent="0.3"/>
    <row r="816" ht="16.5" customHeight="1" x14ac:dyDescent="0.3"/>
    <row r="817" ht="16.5" customHeight="1" x14ac:dyDescent="0.3"/>
    <row r="818" ht="16.5" customHeight="1" x14ac:dyDescent="0.3"/>
    <row r="819" ht="16.5" customHeight="1" x14ac:dyDescent="0.3"/>
    <row r="820" ht="16.5" customHeight="1" x14ac:dyDescent="0.3"/>
    <row r="821" ht="16.5" customHeight="1" x14ac:dyDescent="0.3"/>
    <row r="822" ht="16.5" customHeight="1" x14ac:dyDescent="0.3"/>
    <row r="823" ht="16.5" customHeight="1" x14ac:dyDescent="0.3"/>
    <row r="824" ht="16.5" customHeight="1" x14ac:dyDescent="0.3"/>
    <row r="825" ht="16.5" customHeight="1" x14ac:dyDescent="0.3"/>
    <row r="826" ht="16.5" customHeight="1" x14ac:dyDescent="0.3"/>
    <row r="827" ht="16.5" customHeight="1" x14ac:dyDescent="0.3"/>
    <row r="828" ht="16.5" customHeight="1" x14ac:dyDescent="0.3"/>
    <row r="829" ht="16.5" customHeight="1" x14ac:dyDescent="0.3"/>
    <row r="830" ht="16.5" customHeight="1" x14ac:dyDescent="0.3"/>
    <row r="831" ht="16.5" customHeight="1" x14ac:dyDescent="0.3"/>
    <row r="832" ht="16.5" customHeight="1" x14ac:dyDescent="0.3"/>
    <row r="833" ht="16.5" customHeight="1" x14ac:dyDescent="0.3"/>
    <row r="834" ht="16.5" customHeight="1" x14ac:dyDescent="0.3"/>
    <row r="835" ht="16.5" customHeight="1" x14ac:dyDescent="0.3"/>
    <row r="836" ht="16.5" customHeight="1" x14ac:dyDescent="0.3"/>
    <row r="837" ht="16.5" customHeight="1" x14ac:dyDescent="0.3"/>
    <row r="838" ht="16.5" customHeight="1" x14ac:dyDescent="0.3"/>
    <row r="839" ht="16.5" customHeight="1" x14ac:dyDescent="0.3"/>
    <row r="840" ht="16.5" customHeight="1" x14ac:dyDescent="0.3"/>
    <row r="841" ht="16.5" customHeight="1" x14ac:dyDescent="0.3"/>
    <row r="842" ht="16.5" customHeight="1" x14ac:dyDescent="0.3"/>
    <row r="843" ht="16.5" customHeight="1" x14ac:dyDescent="0.3"/>
    <row r="844" ht="16.5" customHeight="1" x14ac:dyDescent="0.3"/>
    <row r="845" ht="16.5" customHeight="1" x14ac:dyDescent="0.3"/>
    <row r="846" ht="16.5" customHeight="1" x14ac:dyDescent="0.3"/>
    <row r="847" ht="16.5" customHeight="1" x14ac:dyDescent="0.3"/>
    <row r="848" ht="16.5" customHeight="1" x14ac:dyDescent="0.3"/>
    <row r="849" ht="16.5" customHeight="1" x14ac:dyDescent="0.3"/>
    <row r="850" ht="16.5" customHeight="1" x14ac:dyDescent="0.3"/>
    <row r="851" ht="16.5" customHeight="1" x14ac:dyDescent="0.3"/>
    <row r="852" ht="16.5" customHeight="1" x14ac:dyDescent="0.3"/>
    <row r="853" ht="16.5" customHeight="1" x14ac:dyDescent="0.3"/>
    <row r="854" ht="16.5" customHeight="1" x14ac:dyDescent="0.3"/>
    <row r="855" ht="16.5" customHeight="1" x14ac:dyDescent="0.3"/>
    <row r="856" ht="16.5" customHeight="1" x14ac:dyDescent="0.3"/>
    <row r="857" ht="16.5" customHeight="1" x14ac:dyDescent="0.3"/>
    <row r="858" ht="16.5" customHeight="1" x14ac:dyDescent="0.3"/>
    <row r="859" ht="16.5" customHeight="1" x14ac:dyDescent="0.3"/>
    <row r="860" ht="16.5" customHeight="1" x14ac:dyDescent="0.3"/>
    <row r="861" ht="16.5" customHeight="1" x14ac:dyDescent="0.3"/>
    <row r="862" ht="16.5" customHeight="1" x14ac:dyDescent="0.3"/>
    <row r="863" ht="16.5" customHeight="1" x14ac:dyDescent="0.3"/>
    <row r="864" ht="16.5" customHeight="1" x14ac:dyDescent="0.3"/>
    <row r="865" ht="16.5" customHeight="1" x14ac:dyDescent="0.3"/>
    <row r="866" ht="16.5" customHeight="1" x14ac:dyDescent="0.3"/>
    <row r="867" ht="16.5" customHeight="1" x14ac:dyDescent="0.3"/>
    <row r="868" ht="16.5" customHeight="1" x14ac:dyDescent="0.3"/>
    <row r="869" ht="16.5" customHeight="1" x14ac:dyDescent="0.3"/>
    <row r="870" ht="16.5" customHeight="1" x14ac:dyDescent="0.3"/>
    <row r="871" ht="16.5" customHeight="1" x14ac:dyDescent="0.3"/>
    <row r="872" ht="16.5" customHeight="1" x14ac:dyDescent="0.3"/>
    <row r="873" ht="16.5" customHeight="1" x14ac:dyDescent="0.3"/>
    <row r="874" ht="16.5" customHeight="1" x14ac:dyDescent="0.3"/>
    <row r="875" ht="16.5" customHeight="1" x14ac:dyDescent="0.3"/>
    <row r="876" ht="16.5" customHeight="1" x14ac:dyDescent="0.3"/>
    <row r="877" ht="16.5" customHeight="1" x14ac:dyDescent="0.3"/>
    <row r="878" ht="16.5" customHeight="1" x14ac:dyDescent="0.3"/>
    <row r="879" ht="16.5" customHeight="1" x14ac:dyDescent="0.3"/>
    <row r="880" ht="16.5" customHeight="1" x14ac:dyDescent="0.3"/>
    <row r="881" ht="16.5" customHeight="1" x14ac:dyDescent="0.3"/>
    <row r="882" ht="16.5" customHeight="1" x14ac:dyDescent="0.3"/>
    <row r="883" ht="16.5" customHeight="1" x14ac:dyDescent="0.3"/>
    <row r="884" ht="16.5" customHeight="1" x14ac:dyDescent="0.3"/>
    <row r="885" ht="16.5" customHeight="1" x14ac:dyDescent="0.3"/>
    <row r="886" ht="16.5" customHeight="1" x14ac:dyDescent="0.3"/>
    <row r="887" ht="16.5" customHeight="1" x14ac:dyDescent="0.3"/>
    <row r="888" ht="16.5" customHeight="1" x14ac:dyDescent="0.3"/>
    <row r="889" ht="16.5" customHeight="1" x14ac:dyDescent="0.3"/>
    <row r="890" ht="16.5" customHeight="1" x14ac:dyDescent="0.3"/>
    <row r="891" ht="16.5" customHeight="1" x14ac:dyDescent="0.3"/>
    <row r="892" ht="16.5" customHeight="1" x14ac:dyDescent="0.3"/>
    <row r="893" ht="16.5" customHeight="1" x14ac:dyDescent="0.3"/>
    <row r="894" ht="16.5" customHeight="1" x14ac:dyDescent="0.3"/>
    <row r="895" ht="16.5" customHeight="1" x14ac:dyDescent="0.3"/>
    <row r="896" ht="16.5" customHeight="1" x14ac:dyDescent="0.3"/>
    <row r="897" ht="16.5" customHeight="1" x14ac:dyDescent="0.3"/>
    <row r="898" ht="16.5" customHeight="1" x14ac:dyDescent="0.3"/>
    <row r="899" ht="16.5" customHeight="1" x14ac:dyDescent="0.3"/>
    <row r="900" ht="16.5" customHeight="1" x14ac:dyDescent="0.3"/>
    <row r="901" ht="16.5" customHeight="1" x14ac:dyDescent="0.3"/>
    <row r="902" ht="16.5" customHeight="1" x14ac:dyDescent="0.3"/>
    <row r="903" ht="16.5" customHeight="1" x14ac:dyDescent="0.3"/>
    <row r="904" ht="16.5" customHeight="1" x14ac:dyDescent="0.3"/>
    <row r="905" ht="16.5" customHeight="1" x14ac:dyDescent="0.3"/>
    <row r="906" ht="16.5" customHeight="1" x14ac:dyDescent="0.3"/>
    <row r="907" ht="16.5" customHeight="1" x14ac:dyDescent="0.3"/>
    <row r="908" ht="16.5" customHeight="1" x14ac:dyDescent="0.3"/>
    <row r="909" ht="16.5" customHeight="1" x14ac:dyDescent="0.3"/>
    <row r="910" ht="16.5" customHeight="1" x14ac:dyDescent="0.3"/>
    <row r="911" ht="16.5" customHeight="1" x14ac:dyDescent="0.3"/>
    <row r="912" ht="16.5" customHeight="1" x14ac:dyDescent="0.3"/>
    <row r="913" ht="16.5" customHeight="1" x14ac:dyDescent="0.3"/>
    <row r="914" ht="16.5" customHeight="1" x14ac:dyDescent="0.3"/>
    <row r="915" ht="16.5" customHeight="1" x14ac:dyDescent="0.3"/>
    <row r="916" ht="16.5" customHeight="1" x14ac:dyDescent="0.3"/>
    <row r="917" ht="16.5" customHeight="1" x14ac:dyDescent="0.3"/>
    <row r="918" ht="16.5" customHeight="1" x14ac:dyDescent="0.3"/>
    <row r="919" ht="16.5" customHeight="1" x14ac:dyDescent="0.3"/>
    <row r="920" ht="16.5" customHeight="1" x14ac:dyDescent="0.3"/>
    <row r="921" ht="16.5" customHeight="1" x14ac:dyDescent="0.3"/>
    <row r="922" ht="16.5" customHeight="1" x14ac:dyDescent="0.3"/>
    <row r="923" ht="16.5" customHeight="1" x14ac:dyDescent="0.3"/>
    <row r="924" ht="16.5" customHeight="1" x14ac:dyDescent="0.3"/>
    <row r="925" ht="16.5" customHeight="1" x14ac:dyDescent="0.3"/>
    <row r="926" ht="16.5" customHeight="1" x14ac:dyDescent="0.3"/>
    <row r="927" ht="16.5" customHeight="1" x14ac:dyDescent="0.3"/>
    <row r="928" ht="16.5" customHeight="1" x14ac:dyDescent="0.3"/>
    <row r="929" ht="16.5" customHeight="1" x14ac:dyDescent="0.3"/>
    <row r="930" ht="16.5" customHeight="1" x14ac:dyDescent="0.3"/>
    <row r="931" ht="16.5" customHeight="1" x14ac:dyDescent="0.3"/>
    <row r="932" ht="16.5" customHeight="1" x14ac:dyDescent="0.3"/>
    <row r="933" ht="16.5" customHeight="1" x14ac:dyDescent="0.3"/>
    <row r="934" ht="16.5" customHeight="1" x14ac:dyDescent="0.3"/>
    <row r="935" ht="16.5" customHeight="1" x14ac:dyDescent="0.3"/>
    <row r="936" ht="16.5" customHeight="1" x14ac:dyDescent="0.3"/>
    <row r="937" ht="16.5" customHeight="1" x14ac:dyDescent="0.3"/>
    <row r="938" ht="16.5" customHeight="1" x14ac:dyDescent="0.3"/>
    <row r="939" ht="16.5" customHeight="1" x14ac:dyDescent="0.3"/>
    <row r="940" ht="16.5" customHeight="1" x14ac:dyDescent="0.3"/>
    <row r="941" ht="16.5" customHeight="1" x14ac:dyDescent="0.3"/>
    <row r="942" ht="16.5" customHeight="1" x14ac:dyDescent="0.3"/>
    <row r="943" ht="16.5" customHeight="1" x14ac:dyDescent="0.3"/>
    <row r="944" ht="16.5" customHeight="1" x14ac:dyDescent="0.3"/>
    <row r="945" ht="16.5" customHeight="1" x14ac:dyDescent="0.3"/>
    <row r="946" ht="16.5" customHeight="1" x14ac:dyDescent="0.3"/>
    <row r="947" ht="16.5" customHeight="1" x14ac:dyDescent="0.3"/>
    <row r="948" ht="16.5" customHeight="1" x14ac:dyDescent="0.3"/>
    <row r="949" ht="16.5" customHeight="1" x14ac:dyDescent="0.3"/>
    <row r="950" ht="16.5" customHeight="1" x14ac:dyDescent="0.3"/>
    <row r="951" ht="16.5" customHeight="1" x14ac:dyDescent="0.3"/>
    <row r="952" ht="16.5" customHeight="1" x14ac:dyDescent="0.3"/>
    <row r="953" ht="16.5" customHeight="1" x14ac:dyDescent="0.3"/>
    <row r="954" ht="16.5" customHeight="1" x14ac:dyDescent="0.3"/>
    <row r="955" ht="16.5" customHeight="1" x14ac:dyDescent="0.3"/>
    <row r="956" ht="16.5" customHeight="1" x14ac:dyDescent="0.3"/>
    <row r="957" ht="16.5" customHeight="1" x14ac:dyDescent="0.3"/>
    <row r="958" ht="16.5" customHeight="1" x14ac:dyDescent="0.3"/>
    <row r="959" ht="16.5" customHeight="1" x14ac:dyDescent="0.3"/>
    <row r="960" ht="16.5" customHeight="1" x14ac:dyDescent="0.3"/>
    <row r="961" ht="16.5" customHeight="1" x14ac:dyDescent="0.3"/>
    <row r="962" ht="16.5" customHeight="1" x14ac:dyDescent="0.3"/>
    <row r="963" ht="16.5" customHeight="1" x14ac:dyDescent="0.3"/>
    <row r="964" ht="16.5" customHeight="1" x14ac:dyDescent="0.3"/>
    <row r="965" ht="16.5" customHeight="1" x14ac:dyDescent="0.3"/>
    <row r="966" ht="16.5" customHeight="1" x14ac:dyDescent="0.3"/>
    <row r="967" ht="16.5" customHeight="1" x14ac:dyDescent="0.3"/>
    <row r="968" ht="16.5" customHeight="1" x14ac:dyDescent="0.3"/>
    <row r="969" ht="16.5" customHeight="1" x14ac:dyDescent="0.3"/>
    <row r="970" ht="16.5" customHeight="1" x14ac:dyDescent="0.3"/>
    <row r="971" ht="16.5" customHeight="1" x14ac:dyDescent="0.3"/>
    <row r="972" ht="16.5" customHeight="1" x14ac:dyDescent="0.3"/>
    <row r="973" ht="16.5" customHeight="1" x14ac:dyDescent="0.3"/>
    <row r="974" ht="16.5" customHeight="1" x14ac:dyDescent="0.3"/>
    <row r="975" ht="16.5" customHeight="1" x14ac:dyDescent="0.3"/>
    <row r="976" ht="16.5" customHeight="1" x14ac:dyDescent="0.3"/>
    <row r="977" ht="16.5" customHeight="1" x14ac:dyDescent="0.3"/>
    <row r="978" ht="16.5" customHeight="1" x14ac:dyDescent="0.3"/>
    <row r="979" ht="16.5" customHeight="1" x14ac:dyDescent="0.3"/>
    <row r="980" ht="16.5" customHeight="1" x14ac:dyDescent="0.3"/>
    <row r="981" ht="16.5" customHeight="1" x14ac:dyDescent="0.3"/>
    <row r="982" ht="16.5" customHeight="1" x14ac:dyDescent="0.3"/>
    <row r="983" ht="16.5" customHeight="1" x14ac:dyDescent="0.3"/>
    <row r="984" ht="16.5" customHeight="1" x14ac:dyDescent="0.3"/>
    <row r="985" ht="16.5" customHeight="1" x14ac:dyDescent="0.3"/>
    <row r="986" ht="16.5" customHeight="1" x14ac:dyDescent="0.3"/>
    <row r="987" ht="16.5" customHeight="1" x14ac:dyDescent="0.3"/>
    <row r="988" ht="16.5" customHeight="1" x14ac:dyDescent="0.3"/>
    <row r="989" ht="16.5" customHeight="1" x14ac:dyDescent="0.3"/>
    <row r="990" ht="16.5" customHeight="1" x14ac:dyDescent="0.3"/>
    <row r="991" ht="16.5" customHeight="1" x14ac:dyDescent="0.3"/>
    <row r="992" ht="16.5" customHeight="1" x14ac:dyDescent="0.3"/>
    <row r="993" ht="16.5" customHeight="1" x14ac:dyDescent="0.3"/>
    <row r="994" ht="16.5" customHeight="1" x14ac:dyDescent="0.3"/>
    <row r="995" ht="16.5" customHeight="1" x14ac:dyDescent="0.3"/>
    <row r="996" ht="16.5" customHeight="1" x14ac:dyDescent="0.3"/>
    <row r="997" ht="16.5" customHeight="1" x14ac:dyDescent="0.3"/>
    <row r="998" ht="16.5" customHeight="1" x14ac:dyDescent="0.3"/>
  </sheetData>
  <mergeCells count="3">
    <mergeCell ref="A1:B2"/>
    <mergeCell ref="A3:B3"/>
    <mergeCell ref="A41:B41"/>
  </mergeCells>
  <pageMargins left="0.7" right="0.7" top="0.75" bottom="0.75" header="0.511811023622047" footer="0.511811023622047"/>
  <pageSetup paperSize="9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"/>
  <sheetViews>
    <sheetView zoomScale="90" zoomScaleNormal="90" workbookViewId="0">
      <selection activeCell="C4" sqref="C1:C1048576"/>
    </sheetView>
  </sheetViews>
  <sheetFormatPr defaultColWidth="14.44140625" defaultRowHeight="14.4" x14ac:dyDescent="0.3"/>
  <cols>
    <col min="1" max="1" width="6.88671875" customWidth="1"/>
    <col min="2" max="2" width="15.33203125" customWidth="1"/>
    <col min="3" max="4" width="20.109375" customWidth="1"/>
    <col min="5" max="5" width="20.109375" style="56" customWidth="1"/>
    <col min="6" max="6" width="15.77734375" style="21" customWidth="1"/>
    <col min="7" max="7" width="12.109375" customWidth="1"/>
    <col min="8" max="8" width="9.88671875" style="56" customWidth="1"/>
    <col min="9" max="26" width="9.88671875" customWidth="1"/>
  </cols>
  <sheetData>
    <row r="1" spans="1:8" ht="15" customHeight="1" x14ac:dyDescent="0.3">
      <c r="A1" s="82" t="s">
        <v>0</v>
      </c>
      <c r="B1" s="82"/>
      <c r="C1" s="82"/>
      <c r="D1" s="45"/>
      <c r="E1" s="52"/>
    </row>
    <row r="2" spans="1:8" ht="15" customHeight="1" x14ac:dyDescent="0.3">
      <c r="A2" s="82"/>
      <c r="B2" s="82"/>
      <c r="C2" s="82"/>
      <c r="D2" s="62" t="s">
        <v>25</v>
      </c>
      <c r="E2" s="52"/>
      <c r="F2" s="22"/>
    </row>
    <row r="3" spans="1:8" ht="32.25" customHeight="1" x14ac:dyDescent="0.3">
      <c r="A3" s="83" t="s">
        <v>5</v>
      </c>
      <c r="B3" s="83"/>
      <c r="C3" s="11"/>
      <c r="D3" s="11"/>
      <c r="E3" s="53"/>
      <c r="F3" s="23"/>
      <c r="G3" s="3"/>
      <c r="H3" s="57"/>
    </row>
    <row r="4" spans="1:8" ht="20.25" customHeight="1" x14ac:dyDescent="0.3">
      <c r="A4" s="12" t="s">
        <v>2</v>
      </c>
      <c r="B4" s="13" t="s">
        <v>3</v>
      </c>
      <c r="C4" s="48" t="s">
        <v>16</v>
      </c>
      <c r="D4" s="48" t="s">
        <v>17</v>
      </c>
      <c r="E4" s="29" t="s">
        <v>18</v>
      </c>
      <c r="F4" s="30" t="s">
        <v>19</v>
      </c>
      <c r="G4" s="46" t="s">
        <v>13</v>
      </c>
      <c r="H4" s="57" t="s">
        <v>14</v>
      </c>
    </row>
    <row r="5" spans="1:8" ht="15" customHeight="1" x14ac:dyDescent="0.3">
      <c r="A5" s="6">
        <v>1</v>
      </c>
      <c r="B5" s="7">
        <v>22222175</v>
      </c>
      <c r="C5" s="8">
        <v>6.5</v>
      </c>
      <c r="D5" s="8">
        <v>5</v>
      </c>
      <c r="E5" s="54">
        <f>C5+D5</f>
        <v>11.5</v>
      </c>
      <c r="F5" s="24">
        <v>0</v>
      </c>
      <c r="G5" s="3">
        <v>0</v>
      </c>
      <c r="H5" s="63">
        <f>F5+G5</f>
        <v>0</v>
      </c>
    </row>
    <row r="6" spans="1:8" ht="15" customHeight="1" x14ac:dyDescent="0.3">
      <c r="A6" s="6">
        <v>2</v>
      </c>
      <c r="B6" s="14">
        <v>22122220</v>
      </c>
      <c r="C6" s="8">
        <v>7</v>
      </c>
      <c r="D6" s="8">
        <v>8</v>
      </c>
      <c r="E6" s="54">
        <f t="shared" ref="E6:E36" si="0">C6+D6</f>
        <v>15</v>
      </c>
      <c r="F6" s="24">
        <v>1.5</v>
      </c>
      <c r="G6" s="3">
        <v>0</v>
      </c>
      <c r="H6" s="63">
        <f t="shared" ref="H6:H39" si="1">F6+G6</f>
        <v>1.5</v>
      </c>
    </row>
    <row r="7" spans="1:8" ht="15" customHeight="1" x14ac:dyDescent="0.3">
      <c r="A7" s="6">
        <v>3</v>
      </c>
      <c r="B7" s="14">
        <v>22222224</v>
      </c>
      <c r="C7" s="8">
        <v>7.5</v>
      </c>
      <c r="D7" s="8">
        <v>5</v>
      </c>
      <c r="E7" s="54">
        <f t="shared" si="0"/>
        <v>12.5</v>
      </c>
      <c r="F7" s="24">
        <v>4</v>
      </c>
      <c r="G7" s="3">
        <v>3.5</v>
      </c>
      <c r="H7" s="63">
        <f t="shared" si="1"/>
        <v>7.5</v>
      </c>
    </row>
    <row r="8" spans="1:8" ht="15" customHeight="1" x14ac:dyDescent="0.3">
      <c r="A8" s="6">
        <v>4</v>
      </c>
      <c r="B8" s="14">
        <v>22222218</v>
      </c>
      <c r="C8" s="8">
        <v>5.5</v>
      </c>
      <c r="D8" s="8">
        <v>6.5</v>
      </c>
      <c r="E8" s="54">
        <f t="shared" si="0"/>
        <v>12</v>
      </c>
      <c r="F8" s="24">
        <v>3.25</v>
      </c>
      <c r="G8" s="3">
        <v>2</v>
      </c>
      <c r="H8" s="63">
        <f t="shared" si="1"/>
        <v>5.25</v>
      </c>
    </row>
    <row r="9" spans="1:8" ht="15" customHeight="1" x14ac:dyDescent="0.3">
      <c r="A9" s="6">
        <v>5</v>
      </c>
      <c r="B9" s="14">
        <v>22222171</v>
      </c>
      <c r="C9" s="8">
        <v>3</v>
      </c>
      <c r="D9" s="8">
        <v>6.5</v>
      </c>
      <c r="E9" s="54">
        <f t="shared" si="0"/>
        <v>9.5</v>
      </c>
      <c r="F9" s="24">
        <v>0.25</v>
      </c>
      <c r="G9" s="3">
        <v>0</v>
      </c>
      <c r="H9" s="63">
        <f t="shared" si="1"/>
        <v>0.25</v>
      </c>
    </row>
    <row r="10" spans="1:8" ht="15" customHeight="1" x14ac:dyDescent="0.3">
      <c r="A10" s="6">
        <v>6</v>
      </c>
      <c r="B10" s="14">
        <v>22222216</v>
      </c>
      <c r="C10" s="8">
        <v>4.5</v>
      </c>
      <c r="D10" s="8">
        <v>5</v>
      </c>
      <c r="E10" s="54">
        <f t="shared" si="0"/>
        <v>9.5</v>
      </c>
      <c r="F10" s="24">
        <v>3.75</v>
      </c>
      <c r="G10" s="3">
        <v>0</v>
      </c>
      <c r="H10" s="63">
        <f t="shared" si="1"/>
        <v>3.75</v>
      </c>
    </row>
    <row r="11" spans="1:8" ht="15" customHeight="1" x14ac:dyDescent="0.3">
      <c r="A11" s="6">
        <v>7</v>
      </c>
      <c r="B11" s="14">
        <v>22222233</v>
      </c>
      <c r="C11" s="31">
        <v>7.5</v>
      </c>
      <c r="D11" s="31">
        <v>8</v>
      </c>
      <c r="E11" s="54">
        <f t="shared" si="0"/>
        <v>15.5</v>
      </c>
      <c r="F11" s="24">
        <v>4.75</v>
      </c>
      <c r="G11" s="3">
        <v>2.75</v>
      </c>
      <c r="H11" s="63">
        <f t="shared" si="1"/>
        <v>7.5</v>
      </c>
    </row>
    <row r="12" spans="1:8" ht="15" customHeight="1" x14ac:dyDescent="0.3">
      <c r="A12" s="6">
        <v>8</v>
      </c>
      <c r="B12" s="14">
        <v>22222238</v>
      </c>
      <c r="C12" s="8">
        <v>4.5</v>
      </c>
      <c r="D12" s="8">
        <v>5</v>
      </c>
      <c r="E12" s="54">
        <f t="shared" si="0"/>
        <v>9.5</v>
      </c>
      <c r="F12" s="24">
        <v>3.5</v>
      </c>
      <c r="G12" s="3">
        <v>0</v>
      </c>
      <c r="H12" s="63">
        <f t="shared" si="1"/>
        <v>3.5</v>
      </c>
    </row>
    <row r="13" spans="1:8" ht="15" customHeight="1" x14ac:dyDescent="0.3">
      <c r="A13" s="6">
        <v>9</v>
      </c>
      <c r="B13" s="14">
        <v>22222243</v>
      </c>
      <c r="C13" s="8">
        <v>5</v>
      </c>
      <c r="D13" s="8">
        <v>6.5</v>
      </c>
      <c r="E13" s="54">
        <f t="shared" si="0"/>
        <v>11.5</v>
      </c>
      <c r="F13" s="24">
        <v>2.25</v>
      </c>
      <c r="G13" s="3">
        <v>2</v>
      </c>
      <c r="H13" s="63">
        <f t="shared" si="1"/>
        <v>4.25</v>
      </c>
    </row>
    <row r="14" spans="1:8" ht="15" customHeight="1" x14ac:dyDescent="0.3">
      <c r="A14" s="6">
        <v>10</v>
      </c>
      <c r="B14" s="14">
        <v>22222226</v>
      </c>
      <c r="C14" s="8">
        <v>4.5</v>
      </c>
      <c r="D14" s="8">
        <v>6.5</v>
      </c>
      <c r="E14" s="54">
        <f t="shared" si="0"/>
        <v>11</v>
      </c>
      <c r="F14" s="24">
        <v>5</v>
      </c>
      <c r="G14" s="3">
        <v>1.75</v>
      </c>
      <c r="H14" s="63">
        <f t="shared" si="1"/>
        <v>6.75</v>
      </c>
    </row>
    <row r="15" spans="1:8" ht="15" customHeight="1" x14ac:dyDescent="0.3">
      <c r="A15" s="6">
        <v>11</v>
      </c>
      <c r="B15" s="14">
        <v>22222181</v>
      </c>
      <c r="C15" s="8">
        <v>4.5</v>
      </c>
      <c r="D15" s="8">
        <v>8</v>
      </c>
      <c r="E15" s="54">
        <f t="shared" si="0"/>
        <v>12.5</v>
      </c>
      <c r="F15" s="24">
        <v>3.5</v>
      </c>
      <c r="G15" s="3">
        <v>4</v>
      </c>
      <c r="H15" s="63">
        <f t="shared" si="1"/>
        <v>7.5</v>
      </c>
    </row>
    <row r="16" spans="1:8" ht="15" customHeight="1" x14ac:dyDescent="0.3">
      <c r="A16" s="6">
        <v>12</v>
      </c>
      <c r="B16" s="14">
        <v>22222242</v>
      </c>
      <c r="C16" s="8">
        <v>3.5</v>
      </c>
      <c r="D16" s="8">
        <v>5</v>
      </c>
      <c r="E16" s="54">
        <f t="shared" si="0"/>
        <v>8.5</v>
      </c>
      <c r="F16" s="24">
        <v>1.25</v>
      </c>
      <c r="G16" s="3">
        <v>0</v>
      </c>
      <c r="H16" s="63">
        <f t="shared" si="1"/>
        <v>1.25</v>
      </c>
    </row>
    <row r="17" spans="1:24" ht="15" customHeight="1" x14ac:dyDescent="0.3">
      <c r="A17" s="6">
        <v>13</v>
      </c>
      <c r="B17" s="14">
        <v>22222229</v>
      </c>
      <c r="C17" s="8">
        <v>5</v>
      </c>
      <c r="D17" s="8">
        <v>9.5</v>
      </c>
      <c r="E17" s="54">
        <f t="shared" si="0"/>
        <v>14.5</v>
      </c>
      <c r="F17" s="24">
        <v>5</v>
      </c>
      <c r="G17" s="3">
        <v>2.75</v>
      </c>
      <c r="H17" s="63">
        <f t="shared" si="1"/>
        <v>7.75</v>
      </c>
    </row>
    <row r="18" spans="1:24" ht="15" customHeight="1" x14ac:dyDescent="0.3">
      <c r="A18" s="6">
        <v>14</v>
      </c>
      <c r="B18" s="14">
        <v>22222244</v>
      </c>
      <c r="C18" s="8">
        <v>7</v>
      </c>
      <c r="D18" s="8">
        <v>1.5</v>
      </c>
      <c r="E18" s="54">
        <f t="shared" si="0"/>
        <v>8.5</v>
      </c>
      <c r="F18" s="24">
        <v>5.5</v>
      </c>
      <c r="G18" s="3">
        <v>1</v>
      </c>
      <c r="H18" s="63">
        <f t="shared" si="1"/>
        <v>6.5</v>
      </c>
    </row>
    <row r="19" spans="1:24" ht="15" customHeight="1" x14ac:dyDescent="0.3">
      <c r="A19" s="6">
        <v>15</v>
      </c>
      <c r="B19" s="14">
        <v>22222180</v>
      </c>
      <c r="C19" s="8">
        <v>4</v>
      </c>
      <c r="D19" s="8">
        <v>9.5</v>
      </c>
      <c r="E19" s="54">
        <f t="shared" si="0"/>
        <v>13.5</v>
      </c>
      <c r="F19" s="23">
        <v>2.75</v>
      </c>
      <c r="G19" s="4">
        <v>3.25</v>
      </c>
      <c r="H19" s="63">
        <f t="shared" si="1"/>
        <v>6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5" customHeight="1" x14ac:dyDescent="0.3">
      <c r="A20" s="6">
        <v>16</v>
      </c>
      <c r="B20" s="14">
        <v>22222222</v>
      </c>
      <c r="C20" s="8">
        <v>6.5</v>
      </c>
      <c r="D20" s="8">
        <v>5</v>
      </c>
      <c r="E20" s="54">
        <f t="shared" si="0"/>
        <v>11.5</v>
      </c>
      <c r="F20" s="24">
        <v>4.25</v>
      </c>
      <c r="G20" s="3">
        <v>1.5</v>
      </c>
      <c r="H20" s="63">
        <f t="shared" si="1"/>
        <v>5.75</v>
      </c>
    </row>
    <row r="21" spans="1:24" ht="15" customHeight="1" x14ac:dyDescent="0.3">
      <c r="A21" s="6">
        <v>17</v>
      </c>
      <c r="B21" s="14">
        <v>22222221</v>
      </c>
      <c r="C21" s="8">
        <v>6.5</v>
      </c>
      <c r="D21" s="8">
        <v>8</v>
      </c>
      <c r="E21" s="54">
        <f t="shared" si="0"/>
        <v>14.5</v>
      </c>
      <c r="F21" s="24">
        <v>3.75</v>
      </c>
      <c r="G21" s="3">
        <v>3.5</v>
      </c>
      <c r="H21" s="63">
        <f t="shared" si="1"/>
        <v>7.25</v>
      </c>
    </row>
    <row r="22" spans="1:24" ht="15" customHeight="1" x14ac:dyDescent="0.3">
      <c r="A22" s="6">
        <v>18</v>
      </c>
      <c r="B22" s="14">
        <v>22222227</v>
      </c>
      <c r="C22" s="8">
        <v>5</v>
      </c>
      <c r="D22" s="8">
        <v>10</v>
      </c>
      <c r="E22" s="54">
        <f t="shared" si="0"/>
        <v>15</v>
      </c>
      <c r="F22" s="24">
        <v>1.5</v>
      </c>
      <c r="G22" s="3">
        <v>4.5</v>
      </c>
      <c r="H22" s="63">
        <f t="shared" si="1"/>
        <v>6</v>
      </c>
    </row>
    <row r="23" spans="1:24" ht="15" customHeight="1" x14ac:dyDescent="0.3">
      <c r="A23" s="6">
        <v>19</v>
      </c>
      <c r="B23" s="14">
        <v>22222228</v>
      </c>
      <c r="C23" s="8">
        <v>6</v>
      </c>
      <c r="D23" s="8">
        <v>5</v>
      </c>
      <c r="E23" s="54">
        <f t="shared" si="0"/>
        <v>11</v>
      </c>
      <c r="F23" s="24">
        <v>2.5</v>
      </c>
      <c r="G23" s="3">
        <v>2.5</v>
      </c>
      <c r="H23" s="63">
        <f t="shared" si="1"/>
        <v>5</v>
      </c>
    </row>
    <row r="24" spans="1:24" ht="15" customHeight="1" x14ac:dyDescent="0.3">
      <c r="A24" s="6">
        <v>20</v>
      </c>
      <c r="B24" s="14">
        <v>22222241</v>
      </c>
      <c r="C24" s="8">
        <v>5.5</v>
      </c>
      <c r="D24" s="8">
        <v>0</v>
      </c>
      <c r="E24" s="54">
        <f t="shared" si="0"/>
        <v>5.5</v>
      </c>
      <c r="F24" s="24">
        <v>4</v>
      </c>
      <c r="G24" s="3">
        <v>0</v>
      </c>
      <c r="H24" s="63">
        <f t="shared" si="1"/>
        <v>4</v>
      </c>
    </row>
    <row r="25" spans="1:24" ht="15" customHeight="1" x14ac:dyDescent="0.3">
      <c r="A25" s="6">
        <v>21</v>
      </c>
      <c r="B25" s="14">
        <v>22122204</v>
      </c>
      <c r="C25" s="8">
        <v>3</v>
      </c>
      <c r="D25" s="8">
        <v>5</v>
      </c>
      <c r="E25" s="54">
        <f t="shared" si="0"/>
        <v>8</v>
      </c>
      <c r="F25" s="24">
        <v>0</v>
      </c>
      <c r="G25" s="3">
        <v>0</v>
      </c>
      <c r="H25" s="63">
        <f t="shared" si="1"/>
        <v>0</v>
      </c>
    </row>
    <row r="26" spans="1:24" ht="15" customHeight="1" x14ac:dyDescent="0.3">
      <c r="A26" s="6">
        <v>22</v>
      </c>
      <c r="B26" s="14">
        <v>22222172</v>
      </c>
      <c r="C26" s="8">
        <v>6.5</v>
      </c>
      <c r="D26" s="8">
        <v>0</v>
      </c>
      <c r="E26" s="54">
        <f t="shared" si="0"/>
        <v>6.5</v>
      </c>
      <c r="F26" s="24">
        <v>5.5</v>
      </c>
      <c r="G26" s="3">
        <v>0.5</v>
      </c>
      <c r="H26" s="63">
        <f t="shared" si="1"/>
        <v>6</v>
      </c>
    </row>
    <row r="27" spans="1:24" ht="15" customHeight="1" x14ac:dyDescent="0.3">
      <c r="A27" s="6">
        <v>23</v>
      </c>
      <c r="B27" s="14">
        <v>22222232</v>
      </c>
      <c r="C27" s="8">
        <v>6.5</v>
      </c>
      <c r="D27" s="8">
        <v>5</v>
      </c>
      <c r="E27" s="54">
        <f t="shared" si="0"/>
        <v>11.5</v>
      </c>
      <c r="F27" s="24">
        <v>3.75</v>
      </c>
      <c r="G27" s="3">
        <v>0.25</v>
      </c>
      <c r="H27" s="63">
        <f t="shared" si="1"/>
        <v>4</v>
      </c>
    </row>
    <row r="28" spans="1:24" ht="15" customHeight="1" x14ac:dyDescent="0.3">
      <c r="A28" s="6">
        <v>24</v>
      </c>
      <c r="B28" s="14">
        <v>22222245</v>
      </c>
      <c r="C28" s="8">
        <v>4</v>
      </c>
      <c r="D28" s="8">
        <v>6.5</v>
      </c>
      <c r="E28" s="54">
        <f t="shared" si="0"/>
        <v>10.5</v>
      </c>
      <c r="F28" s="24">
        <v>0.25</v>
      </c>
      <c r="G28" s="3">
        <v>0.25</v>
      </c>
      <c r="H28" s="63">
        <f t="shared" si="1"/>
        <v>0.5</v>
      </c>
    </row>
    <row r="29" spans="1:24" s="73" customFormat="1" ht="15" customHeight="1" x14ac:dyDescent="0.3">
      <c r="A29" s="64">
        <v>25</v>
      </c>
      <c r="B29" s="74">
        <v>22222236</v>
      </c>
      <c r="C29" s="66">
        <v>5</v>
      </c>
      <c r="D29" s="66">
        <v>5</v>
      </c>
      <c r="E29" s="75">
        <f t="shared" si="0"/>
        <v>10</v>
      </c>
      <c r="F29" s="76">
        <v>2.5</v>
      </c>
      <c r="G29" s="77">
        <v>0</v>
      </c>
      <c r="H29" s="78">
        <f t="shared" si="1"/>
        <v>2.5</v>
      </c>
    </row>
    <row r="30" spans="1:24" ht="15" customHeight="1" x14ac:dyDescent="0.3">
      <c r="A30" s="6">
        <v>26</v>
      </c>
      <c r="B30" s="14">
        <v>22222178</v>
      </c>
      <c r="C30" s="8">
        <v>4</v>
      </c>
      <c r="D30" s="8">
        <v>2.5</v>
      </c>
      <c r="E30" s="54">
        <f t="shared" si="0"/>
        <v>6.5</v>
      </c>
      <c r="F30" s="24">
        <v>0.5</v>
      </c>
      <c r="G30" s="3">
        <v>0</v>
      </c>
      <c r="H30" s="63">
        <f t="shared" si="1"/>
        <v>0.5</v>
      </c>
    </row>
    <row r="31" spans="1:24" ht="15" customHeight="1" x14ac:dyDescent="0.3">
      <c r="A31" s="6">
        <v>27</v>
      </c>
      <c r="B31" s="14">
        <v>22222234</v>
      </c>
      <c r="C31" s="8">
        <v>5.5</v>
      </c>
      <c r="D31" s="8">
        <v>5</v>
      </c>
      <c r="E31" s="54">
        <f t="shared" si="0"/>
        <v>10.5</v>
      </c>
      <c r="F31" s="24">
        <v>1.5</v>
      </c>
      <c r="G31" s="3">
        <v>1</v>
      </c>
      <c r="H31" s="63">
        <f t="shared" si="1"/>
        <v>2.5</v>
      </c>
    </row>
    <row r="32" spans="1:24" ht="15" customHeight="1" x14ac:dyDescent="0.3">
      <c r="A32" s="6">
        <v>28</v>
      </c>
      <c r="B32" s="14">
        <v>22222237</v>
      </c>
      <c r="C32" s="8">
        <v>5.5</v>
      </c>
      <c r="D32" s="8">
        <v>10</v>
      </c>
      <c r="E32" s="54">
        <f t="shared" si="0"/>
        <v>15.5</v>
      </c>
      <c r="F32" s="24">
        <v>0.75</v>
      </c>
      <c r="G32" s="3">
        <v>4.75</v>
      </c>
      <c r="H32" s="63">
        <f t="shared" si="1"/>
        <v>5.5</v>
      </c>
    </row>
    <row r="33" spans="1:9" ht="15" customHeight="1" x14ac:dyDescent="0.3">
      <c r="A33" s="6">
        <v>29</v>
      </c>
      <c r="B33" s="14">
        <v>22222170</v>
      </c>
      <c r="C33" s="8">
        <v>6</v>
      </c>
      <c r="D33" s="8">
        <v>5</v>
      </c>
      <c r="E33" s="54">
        <f t="shared" si="0"/>
        <v>11</v>
      </c>
      <c r="F33" s="24">
        <v>3.25</v>
      </c>
      <c r="G33" s="3">
        <v>3.75</v>
      </c>
      <c r="H33" s="63">
        <f t="shared" si="1"/>
        <v>7</v>
      </c>
    </row>
    <row r="34" spans="1:9" ht="15" customHeight="1" x14ac:dyDescent="0.3">
      <c r="A34" s="6">
        <v>30</v>
      </c>
      <c r="B34" s="14">
        <v>22222230</v>
      </c>
      <c r="C34" s="8">
        <v>6</v>
      </c>
      <c r="D34" s="8">
        <v>6.5</v>
      </c>
      <c r="E34" s="54">
        <f t="shared" si="0"/>
        <v>12.5</v>
      </c>
      <c r="F34" s="24">
        <v>4.25</v>
      </c>
      <c r="G34" s="3">
        <v>2.5</v>
      </c>
      <c r="H34" s="63">
        <f t="shared" si="1"/>
        <v>6.75</v>
      </c>
    </row>
    <row r="35" spans="1:9" ht="15" customHeight="1" x14ac:dyDescent="0.3">
      <c r="A35" s="6">
        <v>31</v>
      </c>
      <c r="B35" s="14">
        <v>22222240</v>
      </c>
      <c r="C35" s="8">
        <v>3.5</v>
      </c>
      <c r="D35" s="8">
        <v>2.5</v>
      </c>
      <c r="E35" s="54">
        <f t="shared" si="0"/>
        <v>6</v>
      </c>
      <c r="F35" s="24">
        <v>3.25</v>
      </c>
      <c r="G35" s="3">
        <v>0</v>
      </c>
      <c r="H35" s="63">
        <f t="shared" si="1"/>
        <v>3.25</v>
      </c>
    </row>
    <row r="36" spans="1:9" ht="15" customHeight="1" x14ac:dyDescent="0.3">
      <c r="A36" s="6">
        <v>32</v>
      </c>
      <c r="B36" s="14">
        <v>22222235</v>
      </c>
      <c r="C36" s="8">
        <v>8</v>
      </c>
      <c r="D36" s="8">
        <v>9.5</v>
      </c>
      <c r="E36" s="54">
        <f t="shared" si="0"/>
        <v>17.5</v>
      </c>
      <c r="F36" s="24">
        <v>5.5</v>
      </c>
      <c r="G36" s="3">
        <v>3.5</v>
      </c>
      <c r="H36" s="63">
        <f t="shared" si="1"/>
        <v>9</v>
      </c>
    </row>
    <row r="37" spans="1:9" ht="15" customHeight="1" x14ac:dyDescent="0.3">
      <c r="A37" s="84" t="s">
        <v>6</v>
      </c>
      <c r="B37" s="84"/>
      <c r="C37" s="84"/>
      <c r="D37" s="2"/>
      <c r="E37" s="55"/>
      <c r="F37" s="24"/>
      <c r="G37" s="3"/>
      <c r="H37" s="63"/>
    </row>
    <row r="38" spans="1:9" ht="15" customHeight="1" x14ac:dyDescent="0.3">
      <c r="A38" s="6">
        <v>33</v>
      </c>
      <c r="B38" s="15">
        <v>22122075</v>
      </c>
      <c r="C38" s="8">
        <v>0</v>
      </c>
      <c r="D38" s="8">
        <v>0</v>
      </c>
      <c r="E38" s="54">
        <f>C38+D38</f>
        <v>0</v>
      </c>
      <c r="F38" s="30"/>
      <c r="G38" s="3"/>
      <c r="H38" s="63"/>
      <c r="I38" t="s">
        <v>9</v>
      </c>
    </row>
    <row r="39" spans="1:9" ht="15" customHeight="1" x14ac:dyDescent="0.3">
      <c r="A39" s="6">
        <v>34</v>
      </c>
      <c r="B39" s="15">
        <v>22122067</v>
      </c>
      <c r="C39" s="8">
        <v>2</v>
      </c>
      <c r="D39" s="8">
        <v>0</v>
      </c>
      <c r="E39" s="54">
        <f t="shared" ref="E39:E40" si="2">C39+D39</f>
        <v>2</v>
      </c>
      <c r="F39" s="24">
        <v>0.5</v>
      </c>
      <c r="G39" s="3">
        <v>0</v>
      </c>
      <c r="H39" s="63">
        <f t="shared" si="1"/>
        <v>0.5</v>
      </c>
    </row>
    <row r="40" spans="1:9" ht="15" customHeight="1" x14ac:dyDescent="0.3">
      <c r="A40" s="6">
        <v>35</v>
      </c>
      <c r="B40" s="15">
        <v>22122198</v>
      </c>
      <c r="C40" s="8">
        <v>0</v>
      </c>
      <c r="D40" s="8">
        <v>0</v>
      </c>
      <c r="E40" s="54">
        <f t="shared" si="2"/>
        <v>0</v>
      </c>
      <c r="F40" s="30"/>
      <c r="G40" s="3"/>
      <c r="H40" s="63"/>
      <c r="I40" t="s">
        <v>9</v>
      </c>
    </row>
    <row r="41" spans="1:9" x14ac:dyDescent="0.3">
      <c r="F41" s="21">
        <f>(SUM(F5:F36)+F39)/33</f>
        <v>2.8409090909090908</v>
      </c>
    </row>
    <row r="42" spans="1:9" x14ac:dyDescent="0.3">
      <c r="H42" s="79">
        <f>SUM(H5:H40)/33</f>
        <v>4.4015151515151514</v>
      </c>
    </row>
  </sheetData>
  <mergeCells count="3">
    <mergeCell ref="A1:C2"/>
    <mergeCell ref="A3:B3"/>
    <mergeCell ref="A37:C37"/>
  </mergeCells>
  <pageMargins left="0.7" right="0.7" top="0.75" bottom="0.75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90"/>
  <sheetViews>
    <sheetView zoomScaleNormal="100" workbookViewId="0">
      <selection activeCell="C4" sqref="C1:C1048576"/>
    </sheetView>
  </sheetViews>
  <sheetFormatPr defaultColWidth="14.44140625" defaultRowHeight="14.4" x14ac:dyDescent="0.3"/>
  <cols>
    <col min="1" max="1" width="6.44140625" customWidth="1"/>
    <col min="2" max="2" width="16.109375" customWidth="1"/>
    <col min="3" max="3" width="21.5546875" style="47" customWidth="1"/>
    <col min="4" max="4" width="22.33203125" style="47" customWidth="1"/>
    <col min="5" max="5" width="20.33203125" style="56" customWidth="1"/>
    <col min="6" max="6" width="14.109375" style="21" customWidth="1"/>
    <col min="7" max="7" width="10.88671875" customWidth="1"/>
    <col min="8" max="8" width="9.88671875" style="56" customWidth="1"/>
    <col min="9" max="26" width="9.88671875" customWidth="1"/>
  </cols>
  <sheetData>
    <row r="1" spans="1:8" ht="14.25" customHeight="1" x14ac:dyDescent="0.3">
      <c r="A1" s="82" t="s">
        <v>0</v>
      </c>
      <c r="B1" s="82"/>
      <c r="C1" s="82"/>
      <c r="D1" s="49"/>
      <c r="E1" s="52"/>
    </row>
    <row r="2" spans="1:8" ht="14.25" customHeight="1" x14ac:dyDescent="0.3">
      <c r="A2" s="82"/>
      <c r="B2" s="82"/>
      <c r="C2" s="82"/>
      <c r="D2" s="62" t="s">
        <v>25</v>
      </c>
      <c r="E2" s="52"/>
      <c r="F2" s="22"/>
    </row>
    <row r="3" spans="1:8" ht="33.75" customHeight="1" x14ac:dyDescent="0.3">
      <c r="A3" s="85" t="s">
        <v>7</v>
      </c>
      <c r="B3" s="85"/>
      <c r="C3" s="50"/>
      <c r="D3" s="50"/>
      <c r="E3" s="53"/>
      <c r="F3" s="23"/>
      <c r="G3" s="3"/>
      <c r="H3" s="57"/>
    </row>
    <row r="4" spans="1:8" ht="19.5" customHeight="1" x14ac:dyDescent="0.3">
      <c r="A4" s="1" t="s">
        <v>2</v>
      </c>
      <c r="B4" s="1" t="s">
        <v>3</v>
      </c>
      <c r="C4" s="59" t="s">
        <v>10</v>
      </c>
      <c r="D4" s="59" t="s">
        <v>11</v>
      </c>
      <c r="E4" s="25" t="s">
        <v>20</v>
      </c>
      <c r="F4" s="30" t="s">
        <v>19</v>
      </c>
      <c r="G4" s="46" t="s">
        <v>13</v>
      </c>
      <c r="H4" s="57" t="s">
        <v>14</v>
      </c>
    </row>
    <row r="5" spans="1:8" ht="14.25" customHeight="1" x14ac:dyDescent="0.3">
      <c r="A5" s="6">
        <v>1</v>
      </c>
      <c r="B5" s="7">
        <v>22222003</v>
      </c>
      <c r="C5" s="34">
        <v>8</v>
      </c>
      <c r="D5" s="34">
        <v>6.5</v>
      </c>
      <c r="E5" s="54">
        <f>C5+D5</f>
        <v>14.5</v>
      </c>
      <c r="F5" s="24">
        <v>4.75</v>
      </c>
      <c r="G5" s="3">
        <v>5</v>
      </c>
      <c r="H5" s="63">
        <f>F5+G5</f>
        <v>9.75</v>
      </c>
    </row>
    <row r="6" spans="1:8" ht="14.25" customHeight="1" x14ac:dyDescent="0.3">
      <c r="A6" s="6">
        <v>2</v>
      </c>
      <c r="B6" s="7">
        <v>22221959</v>
      </c>
      <c r="C6" s="34">
        <v>3</v>
      </c>
      <c r="D6" s="34">
        <v>2.5</v>
      </c>
      <c r="E6" s="54">
        <f t="shared" ref="E6:E37" si="0">C6+D6</f>
        <v>5.5</v>
      </c>
      <c r="F6" s="24">
        <v>2.75</v>
      </c>
      <c r="G6" s="3">
        <v>1</v>
      </c>
      <c r="H6" s="63">
        <f t="shared" ref="H6:H37" si="1">F6+G6</f>
        <v>3.75</v>
      </c>
    </row>
    <row r="7" spans="1:8" ht="14.25" customHeight="1" x14ac:dyDescent="0.3">
      <c r="A7" s="6">
        <v>3</v>
      </c>
      <c r="B7" s="7">
        <v>22221986</v>
      </c>
      <c r="C7" s="34">
        <v>3</v>
      </c>
      <c r="D7" s="34">
        <v>8</v>
      </c>
      <c r="E7" s="54">
        <f t="shared" si="0"/>
        <v>11</v>
      </c>
      <c r="F7" s="24">
        <v>7.25</v>
      </c>
      <c r="G7" s="3">
        <v>2.25</v>
      </c>
      <c r="H7" s="63">
        <f t="shared" si="1"/>
        <v>9.5</v>
      </c>
    </row>
    <row r="8" spans="1:8" ht="14.25" customHeight="1" x14ac:dyDescent="0.3">
      <c r="A8" s="6">
        <v>4</v>
      </c>
      <c r="B8" s="7">
        <v>22221987</v>
      </c>
      <c r="C8" s="34">
        <v>5</v>
      </c>
      <c r="D8" s="34">
        <v>5</v>
      </c>
      <c r="E8" s="54">
        <f t="shared" si="0"/>
        <v>10</v>
      </c>
      <c r="F8" s="24">
        <v>4.5</v>
      </c>
      <c r="G8" s="3">
        <v>2.5</v>
      </c>
      <c r="H8" s="63">
        <f t="shared" si="1"/>
        <v>7</v>
      </c>
    </row>
    <row r="9" spans="1:8" ht="14.25" customHeight="1" x14ac:dyDescent="0.3">
      <c r="A9" s="6">
        <v>5</v>
      </c>
      <c r="B9" s="7">
        <v>22221964</v>
      </c>
      <c r="C9" s="34">
        <v>6</v>
      </c>
      <c r="D9" s="34">
        <v>8</v>
      </c>
      <c r="E9" s="54">
        <f t="shared" si="0"/>
        <v>14</v>
      </c>
      <c r="F9" s="24">
        <v>0</v>
      </c>
      <c r="G9" s="3">
        <v>0</v>
      </c>
      <c r="H9" s="63">
        <f t="shared" si="1"/>
        <v>0</v>
      </c>
    </row>
    <row r="10" spans="1:8" ht="14.25" customHeight="1" x14ac:dyDescent="0.3">
      <c r="A10" s="6">
        <v>6</v>
      </c>
      <c r="B10" s="7">
        <v>22222001</v>
      </c>
      <c r="C10" s="34">
        <v>4</v>
      </c>
      <c r="D10" s="34">
        <v>2.5</v>
      </c>
      <c r="E10" s="54">
        <f t="shared" si="0"/>
        <v>6.5</v>
      </c>
      <c r="F10" s="24">
        <v>1.5</v>
      </c>
      <c r="G10" s="3">
        <v>0</v>
      </c>
      <c r="H10" s="63">
        <f t="shared" si="1"/>
        <v>1.5</v>
      </c>
    </row>
    <row r="11" spans="1:8" ht="14.25" customHeight="1" x14ac:dyDescent="0.3">
      <c r="A11" s="6">
        <v>7</v>
      </c>
      <c r="B11" s="7">
        <v>22221992</v>
      </c>
      <c r="C11" s="34">
        <v>4.5</v>
      </c>
      <c r="D11" s="34">
        <v>6.5</v>
      </c>
      <c r="E11" s="54">
        <f t="shared" si="0"/>
        <v>11</v>
      </c>
      <c r="F11" s="24">
        <v>3.5</v>
      </c>
      <c r="G11" s="3">
        <v>0</v>
      </c>
      <c r="H11" s="63">
        <f t="shared" si="1"/>
        <v>3.5</v>
      </c>
    </row>
    <row r="12" spans="1:8" ht="14.25" customHeight="1" x14ac:dyDescent="0.3">
      <c r="A12" s="6">
        <v>8</v>
      </c>
      <c r="B12" s="7">
        <v>22222007</v>
      </c>
      <c r="C12" s="34">
        <v>4</v>
      </c>
      <c r="D12" s="34">
        <v>6.5</v>
      </c>
      <c r="E12" s="54">
        <f t="shared" si="0"/>
        <v>10.5</v>
      </c>
      <c r="F12" s="24">
        <v>1.25</v>
      </c>
      <c r="G12" s="3">
        <v>0</v>
      </c>
      <c r="H12" s="63">
        <f t="shared" si="1"/>
        <v>1.25</v>
      </c>
    </row>
    <row r="13" spans="1:8" ht="14.25" customHeight="1" x14ac:dyDescent="0.3">
      <c r="A13" s="6">
        <v>9</v>
      </c>
      <c r="B13" s="7">
        <v>22222004</v>
      </c>
      <c r="C13" s="34">
        <v>6</v>
      </c>
      <c r="D13" s="34">
        <v>5</v>
      </c>
      <c r="E13" s="54">
        <f t="shared" si="0"/>
        <v>11</v>
      </c>
      <c r="F13" s="24">
        <v>3</v>
      </c>
      <c r="G13" s="3">
        <v>1</v>
      </c>
      <c r="H13" s="63">
        <f t="shared" si="1"/>
        <v>4</v>
      </c>
    </row>
    <row r="14" spans="1:8" ht="14.25" customHeight="1" x14ac:dyDescent="0.3">
      <c r="A14" s="6">
        <v>10</v>
      </c>
      <c r="B14" s="7">
        <v>22221953</v>
      </c>
      <c r="C14" s="34">
        <v>4.5</v>
      </c>
      <c r="D14" s="34">
        <v>8</v>
      </c>
      <c r="E14" s="54">
        <f t="shared" si="0"/>
        <v>12.5</v>
      </c>
      <c r="F14" s="24">
        <v>1.25</v>
      </c>
      <c r="G14" s="3">
        <v>0.5</v>
      </c>
      <c r="H14" s="63">
        <f t="shared" si="1"/>
        <v>1.75</v>
      </c>
    </row>
    <row r="15" spans="1:8" ht="14.25" customHeight="1" x14ac:dyDescent="0.3">
      <c r="A15" s="6">
        <v>11</v>
      </c>
      <c r="B15" s="7">
        <v>22221985</v>
      </c>
      <c r="C15" s="34">
        <v>5.5</v>
      </c>
      <c r="D15" s="34">
        <v>8</v>
      </c>
      <c r="E15" s="54">
        <f t="shared" si="0"/>
        <v>13.5</v>
      </c>
      <c r="F15" s="24">
        <v>0.75</v>
      </c>
      <c r="G15" s="3">
        <v>0</v>
      </c>
      <c r="H15" s="63">
        <f t="shared" si="1"/>
        <v>0.75</v>
      </c>
    </row>
    <row r="16" spans="1:8" ht="14.25" customHeight="1" x14ac:dyDescent="0.3">
      <c r="A16" s="6">
        <v>12</v>
      </c>
      <c r="B16" s="7">
        <v>22221954</v>
      </c>
      <c r="C16" s="34">
        <v>8</v>
      </c>
      <c r="D16" s="34">
        <v>9.5</v>
      </c>
      <c r="E16" s="54">
        <f t="shared" si="0"/>
        <v>17.5</v>
      </c>
      <c r="F16" s="24">
        <v>5.5</v>
      </c>
      <c r="G16" s="3">
        <v>8</v>
      </c>
      <c r="H16" s="63">
        <f t="shared" si="1"/>
        <v>13.5</v>
      </c>
    </row>
    <row r="17" spans="1:9" ht="14.25" customHeight="1" x14ac:dyDescent="0.3">
      <c r="A17" s="6">
        <v>13</v>
      </c>
      <c r="B17" s="7">
        <v>22221950</v>
      </c>
      <c r="C17" s="34">
        <v>4</v>
      </c>
      <c r="D17" s="34">
        <v>6.5</v>
      </c>
      <c r="E17" s="54">
        <f t="shared" si="0"/>
        <v>10.5</v>
      </c>
      <c r="F17" s="24">
        <v>5</v>
      </c>
      <c r="G17" s="3">
        <v>1.75</v>
      </c>
      <c r="H17" s="63">
        <f t="shared" si="1"/>
        <v>6.75</v>
      </c>
    </row>
    <row r="18" spans="1:9" ht="14.25" customHeight="1" x14ac:dyDescent="0.3">
      <c r="A18" s="6">
        <v>14</v>
      </c>
      <c r="B18" s="7">
        <v>22222000</v>
      </c>
      <c r="C18" s="34">
        <v>6</v>
      </c>
      <c r="D18" s="34">
        <v>6.5</v>
      </c>
      <c r="E18" s="54">
        <f t="shared" si="0"/>
        <v>12.5</v>
      </c>
      <c r="F18" s="24">
        <v>4.75</v>
      </c>
      <c r="G18" s="3">
        <v>5.75</v>
      </c>
      <c r="H18" s="63">
        <f t="shared" si="1"/>
        <v>10.5</v>
      </c>
    </row>
    <row r="19" spans="1:9" ht="14.25" customHeight="1" x14ac:dyDescent="0.3">
      <c r="A19" s="6">
        <v>15</v>
      </c>
      <c r="B19" s="7">
        <v>22222008</v>
      </c>
      <c r="C19" s="34">
        <v>4</v>
      </c>
      <c r="D19" s="34">
        <v>5</v>
      </c>
      <c r="E19" s="54">
        <f t="shared" si="0"/>
        <v>9</v>
      </c>
      <c r="F19" s="24">
        <v>0</v>
      </c>
      <c r="G19" s="3">
        <v>0</v>
      </c>
      <c r="H19" s="63">
        <f t="shared" si="1"/>
        <v>0</v>
      </c>
    </row>
    <row r="20" spans="1:9" ht="14.25" customHeight="1" x14ac:dyDescent="0.3">
      <c r="A20" s="6">
        <v>16</v>
      </c>
      <c r="B20" s="7">
        <v>22221999</v>
      </c>
      <c r="C20" s="34">
        <v>4.5</v>
      </c>
      <c r="D20" s="34">
        <v>6.5</v>
      </c>
      <c r="E20" s="54">
        <f t="shared" si="0"/>
        <v>11</v>
      </c>
      <c r="F20" s="24">
        <v>3</v>
      </c>
      <c r="G20" s="3">
        <v>1.75</v>
      </c>
      <c r="H20" s="63">
        <f t="shared" si="1"/>
        <v>4.75</v>
      </c>
    </row>
    <row r="21" spans="1:9" ht="16.5" customHeight="1" x14ac:dyDescent="0.3">
      <c r="A21" s="6">
        <v>17</v>
      </c>
      <c r="B21" s="7">
        <v>22221995</v>
      </c>
      <c r="C21" s="34">
        <v>4.5</v>
      </c>
      <c r="D21" s="34">
        <v>8</v>
      </c>
      <c r="E21" s="54">
        <f t="shared" si="0"/>
        <v>12.5</v>
      </c>
      <c r="F21" s="24">
        <v>6</v>
      </c>
      <c r="G21" s="3">
        <v>6</v>
      </c>
      <c r="H21" s="63">
        <f t="shared" si="1"/>
        <v>12</v>
      </c>
    </row>
    <row r="22" spans="1:9" ht="14.25" customHeight="1" x14ac:dyDescent="0.3">
      <c r="A22" s="6">
        <v>18</v>
      </c>
      <c r="B22" s="7">
        <v>22221955</v>
      </c>
      <c r="C22" s="34">
        <v>6</v>
      </c>
      <c r="D22" s="34">
        <v>8</v>
      </c>
      <c r="E22" s="54">
        <f t="shared" si="0"/>
        <v>14</v>
      </c>
      <c r="F22" s="24">
        <v>2.25</v>
      </c>
      <c r="G22" s="3">
        <v>0.5</v>
      </c>
      <c r="H22" s="63">
        <f t="shared" si="1"/>
        <v>2.75</v>
      </c>
    </row>
    <row r="23" spans="1:9" ht="14.25" customHeight="1" x14ac:dyDescent="0.3">
      <c r="A23" s="6">
        <v>19</v>
      </c>
      <c r="B23" s="7">
        <v>22221956</v>
      </c>
      <c r="C23" s="34">
        <v>6.5</v>
      </c>
      <c r="D23" s="34">
        <v>5</v>
      </c>
      <c r="E23" s="54">
        <f t="shared" si="0"/>
        <v>11.5</v>
      </c>
      <c r="F23" s="24"/>
      <c r="G23" s="3"/>
      <c r="H23" s="63">
        <f t="shared" si="1"/>
        <v>0</v>
      </c>
      <c r="I23" t="s">
        <v>9</v>
      </c>
    </row>
    <row r="24" spans="1:9" ht="14.25" customHeight="1" x14ac:dyDescent="0.3">
      <c r="A24" s="6">
        <v>20</v>
      </c>
      <c r="B24" s="7">
        <v>22221996</v>
      </c>
      <c r="C24" s="34">
        <v>6.5</v>
      </c>
      <c r="D24" s="34">
        <v>8</v>
      </c>
      <c r="E24" s="54">
        <f t="shared" si="0"/>
        <v>14.5</v>
      </c>
      <c r="F24" s="24">
        <v>4.75</v>
      </c>
      <c r="G24" s="3">
        <v>0</v>
      </c>
      <c r="H24" s="63">
        <f t="shared" si="1"/>
        <v>4.75</v>
      </c>
    </row>
    <row r="25" spans="1:9" ht="14.25" customHeight="1" x14ac:dyDescent="0.3">
      <c r="A25" s="6">
        <v>21</v>
      </c>
      <c r="B25" s="7">
        <v>22222006</v>
      </c>
      <c r="C25" s="34">
        <v>5</v>
      </c>
      <c r="D25" s="34">
        <v>5</v>
      </c>
      <c r="E25" s="54">
        <f t="shared" si="0"/>
        <v>10</v>
      </c>
      <c r="F25" s="24">
        <v>3.75</v>
      </c>
      <c r="G25" s="3">
        <v>0.75</v>
      </c>
      <c r="H25" s="63">
        <f t="shared" si="1"/>
        <v>4.5</v>
      </c>
    </row>
    <row r="26" spans="1:9" ht="14.25" customHeight="1" x14ac:dyDescent="0.3">
      <c r="A26" s="6">
        <v>22</v>
      </c>
      <c r="B26" s="7">
        <v>22221993</v>
      </c>
      <c r="C26" s="34">
        <v>4</v>
      </c>
      <c r="D26" s="34">
        <v>6.5</v>
      </c>
      <c r="E26" s="54">
        <f t="shared" si="0"/>
        <v>10.5</v>
      </c>
      <c r="F26" s="24">
        <v>3.75</v>
      </c>
      <c r="G26" s="3">
        <v>2</v>
      </c>
      <c r="H26" s="63">
        <f t="shared" si="1"/>
        <v>5.75</v>
      </c>
    </row>
    <row r="27" spans="1:9" ht="14.25" customHeight="1" x14ac:dyDescent="0.3">
      <c r="A27" s="6">
        <v>23</v>
      </c>
      <c r="B27" s="7">
        <v>22221988</v>
      </c>
      <c r="C27" s="34">
        <v>5</v>
      </c>
      <c r="D27" s="34">
        <v>5</v>
      </c>
      <c r="E27" s="54">
        <f t="shared" si="0"/>
        <v>10</v>
      </c>
      <c r="F27" s="24">
        <v>0</v>
      </c>
      <c r="G27" s="3">
        <v>0</v>
      </c>
      <c r="H27" s="63">
        <f t="shared" si="1"/>
        <v>0</v>
      </c>
    </row>
    <row r="28" spans="1:9" ht="14.25" customHeight="1" x14ac:dyDescent="0.3">
      <c r="A28" s="6">
        <v>24</v>
      </c>
      <c r="B28" s="7">
        <v>22221969</v>
      </c>
      <c r="C28" s="34">
        <v>6.5</v>
      </c>
      <c r="D28" s="34">
        <v>10</v>
      </c>
      <c r="E28" s="54">
        <f t="shared" si="0"/>
        <v>16.5</v>
      </c>
      <c r="F28" s="24">
        <v>3.75</v>
      </c>
      <c r="G28" s="3">
        <v>1</v>
      </c>
      <c r="H28" s="63">
        <f t="shared" si="1"/>
        <v>4.75</v>
      </c>
    </row>
    <row r="29" spans="1:9" ht="14.25" customHeight="1" x14ac:dyDescent="0.3">
      <c r="A29" s="6">
        <v>25</v>
      </c>
      <c r="B29" s="7">
        <v>22221994</v>
      </c>
      <c r="C29" s="34">
        <v>5</v>
      </c>
      <c r="D29" s="34">
        <v>8</v>
      </c>
      <c r="E29" s="54">
        <f t="shared" si="0"/>
        <v>13</v>
      </c>
      <c r="F29" s="24">
        <v>7</v>
      </c>
      <c r="G29" s="3">
        <v>6.5</v>
      </c>
      <c r="H29" s="63">
        <f t="shared" si="1"/>
        <v>13.5</v>
      </c>
    </row>
    <row r="30" spans="1:9" ht="14.25" customHeight="1" x14ac:dyDescent="0.3">
      <c r="A30" s="6">
        <v>26</v>
      </c>
      <c r="B30" s="7">
        <v>22221965</v>
      </c>
      <c r="C30" s="34">
        <v>4</v>
      </c>
      <c r="D30" s="34">
        <v>2.5</v>
      </c>
      <c r="E30" s="54">
        <f t="shared" si="0"/>
        <v>6.5</v>
      </c>
      <c r="F30" s="24">
        <v>2</v>
      </c>
      <c r="G30" s="3">
        <v>0</v>
      </c>
      <c r="H30" s="63">
        <f t="shared" si="1"/>
        <v>2</v>
      </c>
    </row>
    <row r="31" spans="1:9" ht="14.25" customHeight="1" x14ac:dyDescent="0.3">
      <c r="A31" s="6">
        <v>27</v>
      </c>
      <c r="B31" s="7">
        <v>22222002</v>
      </c>
      <c r="C31" s="34">
        <v>3.5</v>
      </c>
      <c r="D31" s="34">
        <v>6.5</v>
      </c>
      <c r="E31" s="54">
        <f t="shared" si="0"/>
        <v>10</v>
      </c>
      <c r="F31" s="24">
        <v>1</v>
      </c>
      <c r="G31" s="3">
        <v>0</v>
      </c>
      <c r="H31" s="63">
        <f t="shared" si="1"/>
        <v>1</v>
      </c>
    </row>
    <row r="32" spans="1:9" ht="14.25" customHeight="1" x14ac:dyDescent="0.3">
      <c r="A32" s="84" t="s">
        <v>4</v>
      </c>
      <c r="B32" s="84"/>
      <c r="C32" s="84"/>
      <c r="D32" s="51"/>
      <c r="E32" s="54"/>
      <c r="F32" s="24"/>
      <c r="G32" s="3"/>
      <c r="H32" s="63"/>
    </row>
    <row r="33" spans="1:8" ht="14.25" customHeight="1" x14ac:dyDescent="0.3">
      <c r="A33" s="6">
        <v>28</v>
      </c>
      <c r="B33" s="7">
        <v>22122258</v>
      </c>
      <c r="C33" s="34">
        <v>3</v>
      </c>
      <c r="D33" s="34">
        <v>5</v>
      </c>
      <c r="E33" s="54">
        <f t="shared" si="0"/>
        <v>8</v>
      </c>
      <c r="F33" s="24">
        <v>2.5</v>
      </c>
      <c r="G33" s="3">
        <v>0</v>
      </c>
      <c r="H33" s="63">
        <f t="shared" si="1"/>
        <v>2.5</v>
      </c>
    </row>
    <row r="34" spans="1:8" ht="14.25" customHeight="1" x14ac:dyDescent="0.3">
      <c r="A34" s="6">
        <v>29</v>
      </c>
      <c r="B34" s="7">
        <v>22022908</v>
      </c>
      <c r="C34" s="34">
        <v>3.5</v>
      </c>
      <c r="D34" s="34">
        <v>0</v>
      </c>
      <c r="E34" s="54">
        <f t="shared" si="0"/>
        <v>3.5</v>
      </c>
      <c r="F34" s="24">
        <v>1.75</v>
      </c>
      <c r="G34" s="3">
        <v>0</v>
      </c>
      <c r="H34" s="63">
        <f t="shared" si="1"/>
        <v>1.75</v>
      </c>
    </row>
    <row r="35" spans="1:8" ht="14.25" customHeight="1" x14ac:dyDescent="0.3">
      <c r="A35" s="6">
        <v>30</v>
      </c>
      <c r="B35" s="7">
        <v>22122280</v>
      </c>
      <c r="C35" s="34">
        <v>5.5</v>
      </c>
      <c r="D35" s="34">
        <v>6.5</v>
      </c>
      <c r="E35" s="54">
        <f t="shared" si="0"/>
        <v>12</v>
      </c>
      <c r="F35" s="24">
        <v>4.25</v>
      </c>
      <c r="G35" s="3">
        <v>1</v>
      </c>
      <c r="H35" s="63">
        <f t="shared" si="1"/>
        <v>5.25</v>
      </c>
    </row>
    <row r="36" spans="1:8" ht="14.25" customHeight="1" x14ac:dyDescent="0.3">
      <c r="A36" s="6">
        <v>31</v>
      </c>
      <c r="B36" s="7">
        <v>22122000</v>
      </c>
      <c r="C36" s="34">
        <v>5.5</v>
      </c>
      <c r="D36" s="34">
        <v>5.5</v>
      </c>
      <c r="E36" s="54">
        <f t="shared" si="0"/>
        <v>11</v>
      </c>
      <c r="F36" s="24">
        <v>5</v>
      </c>
      <c r="G36" s="3">
        <v>2.75</v>
      </c>
      <c r="H36" s="63">
        <f t="shared" si="1"/>
        <v>7.75</v>
      </c>
    </row>
    <row r="37" spans="1:8" ht="14.25" customHeight="1" x14ac:dyDescent="0.3">
      <c r="A37" s="6">
        <v>32</v>
      </c>
      <c r="B37" s="7">
        <v>22122010</v>
      </c>
      <c r="C37" s="34">
        <v>3</v>
      </c>
      <c r="D37" s="34">
        <v>6.5</v>
      </c>
      <c r="E37" s="54">
        <f t="shared" si="0"/>
        <v>9.5</v>
      </c>
      <c r="F37" s="24">
        <v>0.5</v>
      </c>
      <c r="G37" s="3">
        <v>0</v>
      </c>
      <c r="H37" s="63">
        <f t="shared" si="1"/>
        <v>0.5</v>
      </c>
    </row>
    <row r="38" spans="1:8" ht="14.25" customHeight="1" x14ac:dyDescent="0.3">
      <c r="F38" s="21">
        <f>(SUM(F33:F37)+SUM(F24:F31)+SUM(F5:F22))/31</f>
        <v>3.129032258064516</v>
      </c>
    </row>
    <row r="39" spans="1:8" ht="14.25" customHeight="1" x14ac:dyDescent="0.3">
      <c r="H39" s="79">
        <f>SUM(H5:H37)/31</f>
        <v>4.741935483870968</v>
      </c>
    </row>
    <row r="40" spans="1:8" ht="14.25" customHeight="1" x14ac:dyDescent="0.3"/>
    <row r="41" spans="1:8" ht="14.25" customHeight="1" x14ac:dyDescent="0.3"/>
    <row r="42" spans="1:8" ht="14.25" customHeight="1" x14ac:dyDescent="0.3"/>
    <row r="43" spans="1:8" ht="14.25" customHeight="1" x14ac:dyDescent="0.3"/>
    <row r="44" spans="1:8" ht="14.25" customHeight="1" x14ac:dyDescent="0.3"/>
    <row r="45" spans="1:8" ht="14.25" customHeight="1" x14ac:dyDescent="0.3"/>
    <row r="46" spans="1:8" ht="14.25" customHeight="1" x14ac:dyDescent="0.3"/>
    <row r="47" spans="1:8" ht="14.25" customHeight="1" x14ac:dyDescent="0.3"/>
    <row r="48" spans="1: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</sheetData>
  <mergeCells count="3">
    <mergeCell ref="A1:C2"/>
    <mergeCell ref="A3:B3"/>
    <mergeCell ref="A32:C32"/>
  </mergeCells>
  <pageMargins left="0.7" right="0.7" top="0.75" bottom="0.75" header="0.511811023622047" footer="0.511811023622047"/>
  <pageSetup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91"/>
  <sheetViews>
    <sheetView tabSelected="1" zoomScaleNormal="100" workbookViewId="0">
      <selection activeCell="K45" sqref="K45"/>
    </sheetView>
  </sheetViews>
  <sheetFormatPr defaultColWidth="14.44140625" defaultRowHeight="14.4" x14ac:dyDescent="0.3"/>
  <cols>
    <col min="1" max="1" width="6.6640625" customWidth="1"/>
    <col min="2" max="2" width="16.109375" customWidth="1"/>
    <col min="3" max="3" width="20.33203125" customWidth="1"/>
    <col min="4" max="4" width="19.33203125" customWidth="1"/>
    <col min="5" max="5" width="17.33203125" style="56" customWidth="1"/>
    <col min="6" max="7" width="13.5546875" style="21" customWidth="1"/>
    <col min="8" max="8" width="9.88671875" style="56" customWidth="1"/>
    <col min="9" max="27" width="9.88671875" customWidth="1"/>
  </cols>
  <sheetData>
    <row r="1" spans="1:8" ht="14.25" customHeight="1" x14ac:dyDescent="0.3">
      <c r="A1" s="82" t="s">
        <v>0</v>
      </c>
      <c r="B1" s="82"/>
      <c r="C1" s="82"/>
      <c r="D1" s="45"/>
      <c r="E1" s="52"/>
      <c r="F1" s="26"/>
      <c r="G1" s="26"/>
    </row>
    <row r="2" spans="1:8" ht="14.25" customHeight="1" x14ac:dyDescent="0.3">
      <c r="A2" s="82"/>
      <c r="B2" s="82"/>
      <c r="C2" s="82"/>
      <c r="D2" s="62" t="s">
        <v>25</v>
      </c>
      <c r="E2" s="52"/>
      <c r="F2" s="22"/>
      <c r="G2" s="22"/>
    </row>
    <row r="3" spans="1:8" ht="27" customHeight="1" x14ac:dyDescent="0.3">
      <c r="A3" s="83" t="s">
        <v>8</v>
      </c>
      <c r="B3" s="83"/>
      <c r="C3" s="16"/>
      <c r="D3" s="16"/>
      <c r="E3" s="60"/>
      <c r="F3" s="23"/>
      <c r="G3" s="23"/>
      <c r="H3" s="57"/>
    </row>
    <row r="4" spans="1:8" ht="30" customHeight="1" x14ac:dyDescent="0.3">
      <c r="A4" s="1" t="s">
        <v>2</v>
      </c>
      <c r="B4" s="1" t="s">
        <v>3</v>
      </c>
      <c r="C4" s="59" t="s">
        <v>21</v>
      </c>
      <c r="D4" s="59" t="s">
        <v>11</v>
      </c>
      <c r="E4" s="25" t="s">
        <v>22</v>
      </c>
      <c r="F4" s="27" t="s">
        <v>19</v>
      </c>
      <c r="G4" s="27" t="s">
        <v>23</v>
      </c>
      <c r="H4" s="57" t="s">
        <v>14</v>
      </c>
    </row>
    <row r="5" spans="1:8" ht="15" customHeight="1" x14ac:dyDescent="0.3">
      <c r="A5" s="17">
        <v>1</v>
      </c>
      <c r="B5" s="14">
        <v>22222168</v>
      </c>
      <c r="C5" s="8">
        <v>7.5</v>
      </c>
      <c r="D5" s="8">
        <v>5</v>
      </c>
      <c r="E5" s="54">
        <f>C5+D5</f>
        <v>12.5</v>
      </c>
      <c r="F5" s="28">
        <v>4</v>
      </c>
      <c r="G5" s="28">
        <v>0</v>
      </c>
      <c r="H5" s="63">
        <f>F5+G5</f>
        <v>4</v>
      </c>
    </row>
    <row r="6" spans="1:8" ht="14.25" customHeight="1" x14ac:dyDescent="0.3">
      <c r="A6" s="18">
        <v>2</v>
      </c>
      <c r="B6" s="14">
        <v>22221927</v>
      </c>
      <c r="C6" s="8">
        <v>8.5</v>
      </c>
      <c r="D6" s="8">
        <v>8</v>
      </c>
      <c r="E6" s="54">
        <f t="shared" ref="E6:E46" si="0">C6+D6</f>
        <v>16.5</v>
      </c>
      <c r="F6" s="28">
        <v>4.5</v>
      </c>
      <c r="G6" s="28">
        <v>2.75</v>
      </c>
      <c r="H6" s="63">
        <f t="shared" ref="H6:H43" si="1">F6+G6</f>
        <v>7.25</v>
      </c>
    </row>
    <row r="7" spans="1:8" ht="14.25" customHeight="1" x14ac:dyDescent="0.3">
      <c r="A7" s="18">
        <v>3</v>
      </c>
      <c r="B7" s="14">
        <v>22221810</v>
      </c>
      <c r="C7" s="8">
        <v>5</v>
      </c>
      <c r="D7" s="8">
        <v>5</v>
      </c>
      <c r="E7" s="54">
        <f t="shared" si="0"/>
        <v>10</v>
      </c>
      <c r="F7" s="28">
        <v>1.75</v>
      </c>
      <c r="G7" s="28">
        <v>1</v>
      </c>
      <c r="H7" s="63">
        <f t="shared" si="1"/>
        <v>2.75</v>
      </c>
    </row>
    <row r="8" spans="1:8" ht="14.25" customHeight="1" x14ac:dyDescent="0.3">
      <c r="A8" s="17">
        <v>4</v>
      </c>
      <c r="B8" s="14">
        <v>22221818</v>
      </c>
      <c r="C8" s="8">
        <v>3</v>
      </c>
      <c r="D8" s="8">
        <v>5</v>
      </c>
      <c r="E8" s="54">
        <f t="shared" si="0"/>
        <v>8</v>
      </c>
      <c r="F8" s="28">
        <v>0</v>
      </c>
      <c r="G8" s="28">
        <v>0</v>
      </c>
      <c r="H8" s="63">
        <f t="shared" si="1"/>
        <v>0</v>
      </c>
    </row>
    <row r="9" spans="1:8" ht="14.25" customHeight="1" x14ac:dyDescent="0.3">
      <c r="A9" s="18">
        <v>5</v>
      </c>
      <c r="B9" s="14">
        <v>22221803</v>
      </c>
      <c r="C9" s="8">
        <v>6.5</v>
      </c>
      <c r="D9" s="8">
        <v>6.5</v>
      </c>
      <c r="E9" s="54">
        <f t="shared" si="0"/>
        <v>13</v>
      </c>
      <c r="F9" s="28">
        <v>10</v>
      </c>
      <c r="G9" s="28">
        <v>8.25</v>
      </c>
      <c r="H9" s="63">
        <f t="shared" si="1"/>
        <v>18.25</v>
      </c>
    </row>
    <row r="10" spans="1:8" ht="14.25" customHeight="1" x14ac:dyDescent="0.3">
      <c r="A10" s="18">
        <v>6</v>
      </c>
      <c r="B10" s="14">
        <v>22221908</v>
      </c>
      <c r="C10" s="8">
        <v>4</v>
      </c>
      <c r="D10" s="8">
        <v>4.5</v>
      </c>
      <c r="E10" s="54">
        <f t="shared" si="0"/>
        <v>8.5</v>
      </c>
      <c r="F10" s="28">
        <v>2.75</v>
      </c>
      <c r="G10" s="28">
        <v>1.5</v>
      </c>
      <c r="H10" s="63">
        <f t="shared" si="1"/>
        <v>4.25</v>
      </c>
    </row>
    <row r="11" spans="1:8" ht="14.25" customHeight="1" x14ac:dyDescent="0.3">
      <c r="A11" s="17">
        <v>7</v>
      </c>
      <c r="B11" s="14">
        <v>22221921</v>
      </c>
      <c r="C11" s="8">
        <v>4</v>
      </c>
      <c r="D11" s="8">
        <v>6.5</v>
      </c>
      <c r="E11" s="54">
        <f t="shared" si="0"/>
        <v>10.5</v>
      </c>
      <c r="F11" s="28">
        <v>2.25</v>
      </c>
      <c r="G11" s="28">
        <v>0.5</v>
      </c>
      <c r="H11" s="63">
        <f t="shared" si="1"/>
        <v>2.75</v>
      </c>
    </row>
    <row r="12" spans="1:8" ht="14.25" customHeight="1" x14ac:dyDescent="0.3">
      <c r="A12" s="18">
        <v>8</v>
      </c>
      <c r="B12" s="14">
        <v>22221952</v>
      </c>
      <c r="C12" s="8">
        <v>5</v>
      </c>
      <c r="D12" s="8">
        <v>5</v>
      </c>
      <c r="E12" s="54">
        <f t="shared" si="0"/>
        <v>10</v>
      </c>
      <c r="F12" s="28">
        <v>1.75</v>
      </c>
      <c r="G12" s="28">
        <v>0</v>
      </c>
      <c r="H12" s="63">
        <f t="shared" si="1"/>
        <v>1.75</v>
      </c>
    </row>
    <row r="13" spans="1:8" ht="14.25" customHeight="1" x14ac:dyDescent="0.3">
      <c r="A13" s="18">
        <v>9</v>
      </c>
      <c r="B13" s="14">
        <v>22221974</v>
      </c>
      <c r="C13" s="8">
        <v>3.5</v>
      </c>
      <c r="D13" s="8">
        <v>5</v>
      </c>
      <c r="E13" s="54">
        <f t="shared" si="0"/>
        <v>8.5</v>
      </c>
      <c r="F13" s="28">
        <v>2.75</v>
      </c>
      <c r="G13" s="28">
        <v>1</v>
      </c>
      <c r="H13" s="63">
        <f t="shared" si="1"/>
        <v>3.75</v>
      </c>
    </row>
    <row r="14" spans="1:8" ht="14.25" customHeight="1" x14ac:dyDescent="0.3">
      <c r="A14" s="17">
        <v>10</v>
      </c>
      <c r="B14" s="14">
        <v>22221902</v>
      </c>
      <c r="C14" s="8">
        <v>6</v>
      </c>
      <c r="D14" s="8">
        <v>6.5</v>
      </c>
      <c r="E14" s="54">
        <f t="shared" si="0"/>
        <v>12.5</v>
      </c>
      <c r="F14" s="28">
        <v>3.5</v>
      </c>
      <c r="G14" s="28">
        <v>2</v>
      </c>
      <c r="H14" s="63">
        <f t="shared" si="1"/>
        <v>5.5</v>
      </c>
    </row>
    <row r="15" spans="1:8" ht="14.25" customHeight="1" x14ac:dyDescent="0.3">
      <c r="A15" s="18">
        <v>11</v>
      </c>
      <c r="B15" s="14">
        <v>22221819</v>
      </c>
      <c r="C15" s="8">
        <v>4.5</v>
      </c>
      <c r="D15" s="8">
        <v>6.5</v>
      </c>
      <c r="E15" s="54">
        <f t="shared" si="0"/>
        <v>11</v>
      </c>
      <c r="F15" s="28">
        <v>1.75</v>
      </c>
      <c r="G15" s="28">
        <v>1</v>
      </c>
      <c r="H15" s="63">
        <f t="shared" si="1"/>
        <v>2.75</v>
      </c>
    </row>
    <row r="16" spans="1:8" ht="14.25" customHeight="1" x14ac:dyDescent="0.3">
      <c r="A16" s="18">
        <v>12</v>
      </c>
      <c r="B16" s="14">
        <v>22221833</v>
      </c>
      <c r="C16" s="8">
        <v>9</v>
      </c>
      <c r="D16" s="8">
        <v>4</v>
      </c>
      <c r="E16" s="54">
        <f t="shared" si="0"/>
        <v>13</v>
      </c>
      <c r="F16" s="28">
        <v>10</v>
      </c>
      <c r="G16" s="28">
        <v>8.5</v>
      </c>
      <c r="H16" s="63">
        <f t="shared" si="1"/>
        <v>18.5</v>
      </c>
    </row>
    <row r="17" spans="1:8" ht="14.25" customHeight="1" x14ac:dyDescent="0.3">
      <c r="A17" s="17">
        <v>13</v>
      </c>
      <c r="B17" s="14">
        <v>22221928</v>
      </c>
      <c r="C17" s="8">
        <v>6</v>
      </c>
      <c r="D17" s="8">
        <v>8</v>
      </c>
      <c r="E17" s="54">
        <f t="shared" si="0"/>
        <v>14</v>
      </c>
      <c r="F17" s="28">
        <v>4.75</v>
      </c>
      <c r="G17" s="28">
        <v>1</v>
      </c>
      <c r="H17" s="63">
        <f t="shared" si="1"/>
        <v>5.75</v>
      </c>
    </row>
    <row r="18" spans="1:8" ht="14.25" customHeight="1" x14ac:dyDescent="0.3">
      <c r="A18" s="18">
        <v>14</v>
      </c>
      <c r="B18" s="14">
        <v>22221925</v>
      </c>
      <c r="C18" s="8">
        <v>8</v>
      </c>
      <c r="D18" s="8">
        <v>5</v>
      </c>
      <c r="E18" s="54">
        <f t="shared" si="0"/>
        <v>13</v>
      </c>
      <c r="F18" s="28">
        <v>4.25</v>
      </c>
      <c r="G18" s="28">
        <v>1</v>
      </c>
      <c r="H18" s="63">
        <f t="shared" si="1"/>
        <v>5.25</v>
      </c>
    </row>
    <row r="19" spans="1:8" ht="14.25" customHeight="1" x14ac:dyDescent="0.3">
      <c r="A19" s="18">
        <v>15</v>
      </c>
      <c r="B19" s="14">
        <v>22221897</v>
      </c>
      <c r="C19" s="8">
        <v>3</v>
      </c>
      <c r="D19" s="8">
        <v>2.5</v>
      </c>
      <c r="E19" s="54">
        <f t="shared" si="0"/>
        <v>5.5</v>
      </c>
      <c r="F19" s="28">
        <v>4.25</v>
      </c>
      <c r="G19" s="28">
        <v>0</v>
      </c>
      <c r="H19" s="63">
        <f t="shared" si="1"/>
        <v>4.25</v>
      </c>
    </row>
    <row r="20" spans="1:8" ht="14.25" customHeight="1" x14ac:dyDescent="0.3">
      <c r="A20" s="17">
        <v>16</v>
      </c>
      <c r="B20" s="14">
        <v>22221827</v>
      </c>
      <c r="C20" s="8">
        <v>6.5</v>
      </c>
      <c r="D20" s="8">
        <v>8</v>
      </c>
      <c r="E20" s="54">
        <f t="shared" si="0"/>
        <v>14.5</v>
      </c>
      <c r="F20" s="28">
        <v>0.75</v>
      </c>
      <c r="G20" s="28">
        <v>2.25</v>
      </c>
      <c r="H20" s="63">
        <f t="shared" si="1"/>
        <v>3</v>
      </c>
    </row>
    <row r="21" spans="1:8" ht="14.25" customHeight="1" x14ac:dyDescent="0.3">
      <c r="A21" s="18">
        <v>17</v>
      </c>
      <c r="B21" s="14">
        <v>22221825</v>
      </c>
      <c r="C21" s="8">
        <v>6</v>
      </c>
      <c r="D21" s="8">
        <v>5.5</v>
      </c>
      <c r="E21" s="54">
        <f t="shared" si="0"/>
        <v>11.5</v>
      </c>
      <c r="F21" s="28">
        <v>4.75</v>
      </c>
      <c r="G21" s="28">
        <v>1</v>
      </c>
      <c r="H21" s="63">
        <f t="shared" si="1"/>
        <v>5.75</v>
      </c>
    </row>
    <row r="22" spans="1:8" ht="14.25" customHeight="1" x14ac:dyDescent="0.3">
      <c r="A22" s="18">
        <v>18</v>
      </c>
      <c r="B22" s="14">
        <v>22221963</v>
      </c>
      <c r="C22" s="8">
        <v>4</v>
      </c>
      <c r="D22" s="8">
        <v>5</v>
      </c>
      <c r="E22" s="54">
        <f t="shared" si="0"/>
        <v>9</v>
      </c>
      <c r="F22" s="28">
        <v>1.75</v>
      </c>
      <c r="G22" s="28">
        <v>0</v>
      </c>
      <c r="H22" s="63">
        <f t="shared" si="1"/>
        <v>1.75</v>
      </c>
    </row>
    <row r="23" spans="1:8" ht="14.25" customHeight="1" x14ac:dyDescent="0.3">
      <c r="A23" s="17">
        <v>19</v>
      </c>
      <c r="B23" s="14">
        <v>22221951</v>
      </c>
      <c r="C23" s="8">
        <v>9</v>
      </c>
      <c r="D23" s="8">
        <v>8</v>
      </c>
      <c r="E23" s="54">
        <f t="shared" si="0"/>
        <v>17</v>
      </c>
      <c r="F23" s="28">
        <v>7.5</v>
      </c>
      <c r="G23" s="28">
        <v>5.75</v>
      </c>
      <c r="H23" s="63">
        <f t="shared" si="1"/>
        <v>13.25</v>
      </c>
    </row>
    <row r="24" spans="1:8" ht="14.25" customHeight="1" x14ac:dyDescent="0.3">
      <c r="A24" s="18">
        <v>20</v>
      </c>
      <c r="B24" s="14">
        <v>22221822</v>
      </c>
      <c r="C24" s="8">
        <v>5</v>
      </c>
      <c r="D24" s="8">
        <v>5</v>
      </c>
      <c r="E24" s="54">
        <f t="shared" si="0"/>
        <v>10</v>
      </c>
      <c r="F24" s="28">
        <v>0</v>
      </c>
      <c r="G24" s="28">
        <v>0</v>
      </c>
      <c r="H24" s="63">
        <f t="shared" si="1"/>
        <v>0</v>
      </c>
    </row>
    <row r="25" spans="1:8" ht="14.25" customHeight="1" x14ac:dyDescent="0.3">
      <c r="A25" s="18">
        <v>21</v>
      </c>
      <c r="B25" s="19">
        <v>22221900</v>
      </c>
      <c r="C25" s="8">
        <v>4.5</v>
      </c>
      <c r="D25" s="8">
        <v>1.5</v>
      </c>
      <c r="E25" s="54">
        <f t="shared" si="0"/>
        <v>6</v>
      </c>
      <c r="F25" s="28">
        <v>3.75</v>
      </c>
      <c r="G25" s="28">
        <v>0</v>
      </c>
      <c r="H25" s="63">
        <f t="shared" si="1"/>
        <v>3.75</v>
      </c>
    </row>
    <row r="26" spans="1:8" ht="14.25" customHeight="1" x14ac:dyDescent="0.3">
      <c r="A26" s="17">
        <v>22</v>
      </c>
      <c r="B26" s="14">
        <v>22221943</v>
      </c>
      <c r="C26" s="8">
        <v>8.5</v>
      </c>
      <c r="D26" s="8">
        <v>6.5</v>
      </c>
      <c r="E26" s="54">
        <f t="shared" si="0"/>
        <v>15</v>
      </c>
      <c r="F26" s="28">
        <v>10</v>
      </c>
      <c r="G26" s="28">
        <v>6.25</v>
      </c>
      <c r="H26" s="63">
        <f t="shared" si="1"/>
        <v>16.25</v>
      </c>
    </row>
    <row r="27" spans="1:8" ht="14.25" customHeight="1" x14ac:dyDescent="0.3">
      <c r="A27" s="18">
        <v>23</v>
      </c>
      <c r="B27" s="14">
        <v>22221907</v>
      </c>
      <c r="C27" s="8">
        <v>5</v>
      </c>
      <c r="D27" s="8">
        <v>5</v>
      </c>
      <c r="E27" s="54">
        <f t="shared" si="0"/>
        <v>10</v>
      </c>
      <c r="F27" s="28">
        <v>6.5</v>
      </c>
      <c r="G27" s="28">
        <v>1</v>
      </c>
      <c r="H27" s="63">
        <f t="shared" si="1"/>
        <v>7.5</v>
      </c>
    </row>
    <row r="28" spans="1:8" s="73" customFormat="1" ht="14.25" customHeight="1" x14ac:dyDescent="0.3">
      <c r="A28" s="80">
        <v>24</v>
      </c>
      <c r="B28" s="74">
        <v>22221941</v>
      </c>
      <c r="C28" s="66">
        <v>4.5</v>
      </c>
      <c r="D28" s="66">
        <v>6.5</v>
      </c>
      <c r="E28" s="75">
        <f t="shared" si="0"/>
        <v>11</v>
      </c>
      <c r="F28" s="81">
        <v>2.75</v>
      </c>
      <c r="G28" s="81">
        <v>1.25</v>
      </c>
      <c r="H28" s="78">
        <f t="shared" si="1"/>
        <v>4</v>
      </c>
    </row>
    <row r="29" spans="1:8" ht="14.25" customHeight="1" x14ac:dyDescent="0.3">
      <c r="A29" s="17">
        <v>25</v>
      </c>
      <c r="B29" s="14">
        <v>22221946</v>
      </c>
      <c r="C29" s="8">
        <v>5.5</v>
      </c>
      <c r="D29" s="8">
        <v>5</v>
      </c>
      <c r="E29" s="54">
        <f t="shared" si="0"/>
        <v>10.5</v>
      </c>
      <c r="F29" s="28">
        <v>5</v>
      </c>
      <c r="G29" s="28">
        <v>1</v>
      </c>
      <c r="H29" s="63">
        <f t="shared" si="1"/>
        <v>6</v>
      </c>
    </row>
    <row r="30" spans="1:8" ht="14.25" customHeight="1" x14ac:dyDescent="0.3">
      <c r="A30" s="18">
        <v>26</v>
      </c>
      <c r="B30" s="14">
        <v>22221888</v>
      </c>
      <c r="C30" s="8">
        <v>4.5</v>
      </c>
      <c r="D30" s="8">
        <v>5</v>
      </c>
      <c r="E30" s="54">
        <f t="shared" si="0"/>
        <v>9.5</v>
      </c>
      <c r="F30" s="28">
        <v>1.75</v>
      </c>
      <c r="G30" s="28">
        <v>0.75</v>
      </c>
      <c r="H30" s="63">
        <f t="shared" si="1"/>
        <v>2.5</v>
      </c>
    </row>
    <row r="31" spans="1:8" ht="14.25" customHeight="1" x14ac:dyDescent="0.3">
      <c r="A31" s="18">
        <v>27</v>
      </c>
      <c r="B31" s="14">
        <v>22221836</v>
      </c>
      <c r="C31" s="8">
        <v>4</v>
      </c>
      <c r="D31" s="8">
        <v>1.5</v>
      </c>
      <c r="E31" s="54">
        <f t="shared" si="0"/>
        <v>5.5</v>
      </c>
      <c r="F31" s="28">
        <v>4.25</v>
      </c>
      <c r="G31" s="28">
        <v>1</v>
      </c>
      <c r="H31" s="63">
        <f t="shared" si="1"/>
        <v>5.25</v>
      </c>
    </row>
    <row r="32" spans="1:8" ht="14.25" customHeight="1" x14ac:dyDescent="0.3">
      <c r="A32" s="17">
        <v>28</v>
      </c>
      <c r="B32" s="7">
        <v>22221947</v>
      </c>
      <c r="C32" s="8">
        <v>6.5</v>
      </c>
      <c r="D32" s="8">
        <v>5</v>
      </c>
      <c r="E32" s="54">
        <f t="shared" si="0"/>
        <v>11.5</v>
      </c>
      <c r="F32" s="28">
        <v>5.75</v>
      </c>
      <c r="G32" s="28">
        <v>0.5</v>
      </c>
      <c r="H32" s="63">
        <f t="shared" si="1"/>
        <v>6.25</v>
      </c>
    </row>
    <row r="33" spans="1:9" ht="14.25" customHeight="1" x14ac:dyDescent="0.3">
      <c r="A33" s="18">
        <v>29</v>
      </c>
      <c r="B33" s="20">
        <v>22221814</v>
      </c>
      <c r="C33" s="8">
        <v>6.5</v>
      </c>
      <c r="D33" s="8">
        <v>6.5</v>
      </c>
      <c r="E33" s="54">
        <f t="shared" si="0"/>
        <v>13</v>
      </c>
      <c r="F33" s="28">
        <v>6.5</v>
      </c>
      <c r="G33" s="28">
        <v>6.75</v>
      </c>
      <c r="H33" s="63">
        <f t="shared" si="1"/>
        <v>13.25</v>
      </c>
    </row>
    <row r="34" spans="1:9" ht="14.25" customHeight="1" x14ac:dyDescent="0.3">
      <c r="A34" s="18">
        <v>30</v>
      </c>
      <c r="B34" s="7">
        <v>22221939</v>
      </c>
      <c r="C34" s="8">
        <v>5.5</v>
      </c>
      <c r="D34" s="8">
        <v>6.5</v>
      </c>
      <c r="E34" s="54">
        <f t="shared" si="0"/>
        <v>12</v>
      </c>
      <c r="F34" s="28">
        <v>5.75</v>
      </c>
      <c r="G34" s="28">
        <v>7.25</v>
      </c>
      <c r="H34" s="63">
        <f t="shared" si="1"/>
        <v>13</v>
      </c>
    </row>
    <row r="35" spans="1:9" ht="14.25" customHeight="1" x14ac:dyDescent="0.3">
      <c r="A35" s="17">
        <v>31</v>
      </c>
      <c r="B35" s="7">
        <v>22221912</v>
      </c>
      <c r="C35" s="8">
        <v>6</v>
      </c>
      <c r="D35" s="8">
        <v>9.5</v>
      </c>
      <c r="E35" s="54">
        <f t="shared" si="0"/>
        <v>15.5</v>
      </c>
      <c r="F35" s="28">
        <v>4.5</v>
      </c>
      <c r="G35" s="28">
        <v>6</v>
      </c>
      <c r="H35" s="63">
        <f t="shared" si="1"/>
        <v>10.5</v>
      </c>
    </row>
    <row r="36" spans="1:9" ht="14.25" customHeight="1" x14ac:dyDescent="0.3">
      <c r="A36" s="18">
        <v>32</v>
      </c>
      <c r="B36" s="7">
        <v>22221922</v>
      </c>
      <c r="C36" s="8">
        <v>3.5</v>
      </c>
      <c r="D36" s="8">
        <v>8</v>
      </c>
      <c r="E36" s="54">
        <f t="shared" si="0"/>
        <v>11.5</v>
      </c>
      <c r="F36" s="28">
        <v>3.5</v>
      </c>
      <c r="G36" s="28">
        <v>3.75</v>
      </c>
      <c r="H36" s="63">
        <f t="shared" si="1"/>
        <v>7.25</v>
      </c>
    </row>
    <row r="37" spans="1:9" ht="14.25" customHeight="1" x14ac:dyDescent="0.3">
      <c r="A37" s="18">
        <v>33</v>
      </c>
      <c r="B37" s="7">
        <v>22221957</v>
      </c>
      <c r="C37" s="8">
        <v>3</v>
      </c>
      <c r="D37" s="8">
        <v>2.5</v>
      </c>
      <c r="E37" s="54">
        <f t="shared" si="0"/>
        <v>5.5</v>
      </c>
      <c r="F37" s="28">
        <v>4.25</v>
      </c>
      <c r="G37" s="28">
        <v>0</v>
      </c>
      <c r="H37" s="63">
        <f t="shared" si="1"/>
        <v>4.25</v>
      </c>
    </row>
    <row r="38" spans="1:9" ht="14.25" customHeight="1" x14ac:dyDescent="0.3">
      <c r="A38" s="17">
        <v>34</v>
      </c>
      <c r="B38" s="7">
        <v>22221872</v>
      </c>
      <c r="C38" s="8">
        <v>4.5</v>
      </c>
      <c r="D38" s="8">
        <v>8</v>
      </c>
      <c r="E38" s="54">
        <f t="shared" si="0"/>
        <v>12.5</v>
      </c>
      <c r="F38" s="28">
        <v>4.5</v>
      </c>
      <c r="G38" s="28">
        <v>0</v>
      </c>
      <c r="H38" s="63">
        <f t="shared" si="1"/>
        <v>4.5</v>
      </c>
    </row>
    <row r="39" spans="1:9" ht="14.25" customHeight="1" x14ac:dyDescent="0.3">
      <c r="A39" s="18">
        <v>35</v>
      </c>
      <c r="B39" s="7">
        <v>22221923</v>
      </c>
      <c r="C39" s="8">
        <v>5.5</v>
      </c>
      <c r="D39" s="8">
        <v>5</v>
      </c>
      <c r="E39" s="54">
        <f t="shared" si="0"/>
        <v>10.5</v>
      </c>
      <c r="F39" s="28">
        <v>3.5</v>
      </c>
      <c r="G39" s="28">
        <v>7.75</v>
      </c>
      <c r="H39" s="63">
        <f t="shared" si="1"/>
        <v>11.25</v>
      </c>
    </row>
    <row r="40" spans="1:9" ht="14.25" customHeight="1" x14ac:dyDescent="0.3">
      <c r="A40" s="18">
        <v>36</v>
      </c>
      <c r="B40" s="6">
        <v>22221949</v>
      </c>
      <c r="C40" s="8">
        <v>3.5</v>
      </c>
      <c r="D40" s="8">
        <v>6.5</v>
      </c>
      <c r="E40" s="54">
        <f t="shared" si="0"/>
        <v>10</v>
      </c>
      <c r="F40" s="28">
        <v>7</v>
      </c>
      <c r="G40" s="28">
        <v>8.5</v>
      </c>
      <c r="H40" s="63">
        <f t="shared" si="1"/>
        <v>15.5</v>
      </c>
    </row>
    <row r="41" spans="1:9" ht="14.25" customHeight="1" x14ac:dyDescent="0.3">
      <c r="A41" s="17">
        <v>37</v>
      </c>
      <c r="B41" s="6">
        <v>22221831</v>
      </c>
      <c r="C41" s="8">
        <v>6</v>
      </c>
      <c r="D41" s="8">
        <v>8</v>
      </c>
      <c r="E41" s="54">
        <f t="shared" si="0"/>
        <v>14</v>
      </c>
      <c r="F41" s="28">
        <v>5.75</v>
      </c>
      <c r="G41" s="28">
        <v>8.25</v>
      </c>
      <c r="H41" s="63">
        <f t="shared" si="1"/>
        <v>14</v>
      </c>
    </row>
    <row r="42" spans="1:9" ht="14.25" customHeight="1" x14ac:dyDescent="0.3">
      <c r="A42" s="18">
        <v>38</v>
      </c>
      <c r="B42" s="6">
        <v>22221968</v>
      </c>
      <c r="C42" s="8">
        <v>4.5</v>
      </c>
      <c r="D42" s="8">
        <v>2.5</v>
      </c>
      <c r="E42" s="54">
        <f t="shared" si="0"/>
        <v>7</v>
      </c>
      <c r="F42" s="28">
        <v>1.25</v>
      </c>
      <c r="G42" s="28">
        <v>1</v>
      </c>
      <c r="H42" s="63">
        <f t="shared" si="1"/>
        <v>2.25</v>
      </c>
      <c r="I42" t="s">
        <v>26</v>
      </c>
    </row>
    <row r="43" spans="1:9" ht="14.25" customHeight="1" x14ac:dyDescent="0.3">
      <c r="A43" s="18">
        <v>39</v>
      </c>
      <c r="B43" s="6">
        <v>22221919</v>
      </c>
      <c r="C43" s="8">
        <v>5</v>
      </c>
      <c r="D43" s="8">
        <v>6.5</v>
      </c>
      <c r="E43" s="54">
        <f t="shared" si="0"/>
        <v>11.5</v>
      </c>
      <c r="F43" s="28">
        <v>4</v>
      </c>
      <c r="G43" s="28">
        <v>2.5</v>
      </c>
      <c r="H43" s="63">
        <f t="shared" si="1"/>
        <v>6.5</v>
      </c>
    </row>
    <row r="44" spans="1:9" ht="20.25" customHeight="1" x14ac:dyDescent="0.3">
      <c r="A44" s="85" t="s">
        <v>4</v>
      </c>
      <c r="B44" s="85"/>
      <c r="C44" s="85"/>
      <c r="D44" s="1"/>
      <c r="E44" s="54"/>
      <c r="F44" s="28"/>
      <c r="G44" s="28"/>
      <c r="H44" s="57"/>
    </row>
    <row r="45" spans="1:9" ht="14.25" customHeight="1" x14ac:dyDescent="0.3">
      <c r="A45" s="8">
        <v>40</v>
      </c>
      <c r="B45" s="7">
        <v>22121886</v>
      </c>
      <c r="C45" s="8">
        <v>2</v>
      </c>
      <c r="D45" s="8">
        <v>0</v>
      </c>
      <c r="E45" s="54">
        <f t="shared" si="0"/>
        <v>2</v>
      </c>
      <c r="F45" s="27"/>
      <c r="G45" s="27"/>
      <c r="H45" s="57"/>
      <c r="I45" t="s">
        <v>9</v>
      </c>
    </row>
    <row r="46" spans="1:9" ht="14.25" customHeight="1" x14ac:dyDescent="0.3">
      <c r="A46" s="8">
        <v>41</v>
      </c>
      <c r="B46" s="7">
        <v>22122235</v>
      </c>
      <c r="C46" s="8">
        <v>7.5</v>
      </c>
      <c r="D46" s="8">
        <v>8</v>
      </c>
      <c r="E46" s="54">
        <f t="shared" si="0"/>
        <v>15.5</v>
      </c>
      <c r="F46" s="28">
        <v>3.75</v>
      </c>
      <c r="G46" s="28">
        <v>5.5</v>
      </c>
      <c r="H46" s="63">
        <f>F46+G46</f>
        <v>9.25</v>
      </c>
    </row>
    <row r="47" spans="1:9" ht="14.25" customHeight="1" x14ac:dyDescent="0.3">
      <c r="F47" s="21">
        <f>(SUM(F5:F43)+F46)/40</f>
        <v>4.1749999999999998</v>
      </c>
    </row>
    <row r="48" spans="1:9" ht="14.25" customHeight="1" x14ac:dyDescent="0.3">
      <c r="H48" s="79">
        <f>SUM(H5:H46)/40</f>
        <v>6.8375000000000004</v>
      </c>
    </row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</sheetData>
  <mergeCells count="3">
    <mergeCell ref="A1:C2"/>
    <mergeCell ref="A3:B3"/>
    <mergeCell ref="A44:C44"/>
  </mergeCells>
  <pageMargins left="0.7" right="0.7" top="0.75" bottom="0.75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Chemical Eng.</vt:lpstr>
      <vt:lpstr>Oil &amp; Gas  Eng.</vt:lpstr>
      <vt:lpstr>Geophysical Eng.</vt:lpstr>
      <vt:lpstr>Computer science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dc:description/>
  <cp:lastModifiedBy>HP</cp:lastModifiedBy>
  <cp:revision>2</cp:revision>
  <dcterms:created xsi:type="dcterms:W3CDTF">2017-11-22T08:40:55Z</dcterms:created>
  <dcterms:modified xsi:type="dcterms:W3CDTF">2023-12-26T14:26:59Z</dcterms:modified>
  <dc:language>az-Latn-AZ</dc:language>
</cp:coreProperties>
</file>